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imouna\Desktop\"/>
    </mc:Choice>
  </mc:AlternateContent>
  <xr:revisionPtr revIDLastSave="0" documentId="13_ncr:1_{95406D60-CFB4-4455-AFB2-12955449B4E0}" xr6:coauthVersionLast="44" xr6:coauthVersionMax="44" xr10:uidLastSave="{00000000-0000-0000-0000-000000000000}"/>
  <bookViews>
    <workbookView xWindow="-120" yWindow="-120" windowWidth="20730" windowHeight="11160" firstSheet="1" activeTab="2" xr2:uid="{00000000-000D-0000-FFFF-FFFF00000000}"/>
  </bookViews>
  <sheets>
    <sheet name="A" sheetId="1" r:id="rId1"/>
    <sheet name="Les données des entreprises" sheetId="8" r:id="rId2"/>
    <sheet name="Solveur" sheetId="9" r:id="rId3"/>
    <sheet name="Heatmap" sheetId="6" r:id="rId4"/>
    <sheet name="Calcul et diagramme" sheetId="7" r:id="rId5"/>
    <sheet name="B" sheetId="2" r:id="rId6"/>
    <sheet name="C" sheetId="3" r:id="rId7"/>
    <sheet name="D" sheetId="4" r:id="rId8"/>
    <sheet name="E" sheetId="5" r:id="rId9"/>
  </sheets>
  <functionGroups builtInGroupCount="19"/>
  <definedNames>
    <definedName name="_xlnm._FilterDatabase" localSheetId="0" hidden="1">A!$A$1:$H$21</definedName>
    <definedName name="_xlnm._FilterDatabase" localSheetId="5" hidden="1">B!$A$1:$H$21</definedName>
    <definedName name="_xlnm._FilterDatabase" localSheetId="6" hidden="1">'C'!$A$1:$H$21</definedName>
    <definedName name="_xlnm._FilterDatabase" localSheetId="7" hidden="1">D!$A$1:$H$21</definedName>
    <definedName name="_xlnm._FilterDatabase" localSheetId="8" hidden="1">E!$A$1:$H$21</definedName>
    <definedName name="solver_adj" localSheetId="2" hidden="1">Solveur!$G$69,Solveur!$F$69,Solveur!$E$69,Solveur!$D$69,Solveur!$C$69,Solveur!$B$69,Solveur!$A$69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Solveur!$H$69</definedName>
    <definedName name="solver_pre" localSheetId="2" hidden="1">0.000001</definedName>
    <definedName name="solver_rbv" localSheetId="2" hidden="1">1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2.99</definedName>
    <definedName name="solver_ver" localSheetId="2" hidden="1">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25" i="9" l="1"/>
  <c r="H28" i="9"/>
  <c r="H34" i="9"/>
  <c r="H36" i="9"/>
  <c r="H38" i="9"/>
  <c r="H40" i="9"/>
  <c r="H42" i="9"/>
  <c r="H44" i="9"/>
  <c r="H46" i="9"/>
  <c r="H48" i="9"/>
  <c r="H50" i="9"/>
  <c r="H52" i="9"/>
  <c r="H54" i="9"/>
  <c r="H56" i="9"/>
  <c r="H58" i="9"/>
  <c r="H60" i="9"/>
  <c r="H62" i="9"/>
  <c r="H64" i="9"/>
  <c r="H66" i="9"/>
  <c r="H68" i="9"/>
  <c r="H35" i="9"/>
  <c r="H37" i="9"/>
  <c r="H39" i="9"/>
  <c r="H41" i="9"/>
  <c r="H43" i="9"/>
  <c r="H45" i="9"/>
  <c r="H47" i="9"/>
  <c r="H49" i="9"/>
  <c r="H51" i="9"/>
  <c r="H53" i="9"/>
  <c r="H55" i="9"/>
  <c r="H57" i="9"/>
  <c r="H59" i="9"/>
  <c r="H61" i="9"/>
  <c r="H63" i="9"/>
  <c r="H65" i="9"/>
  <c r="H67" i="9"/>
  <c r="H69" i="9"/>
  <c r="H33" i="9"/>
  <c r="H4" i="9"/>
  <c r="H6" i="9"/>
  <c r="H8" i="9"/>
  <c r="H10" i="9"/>
  <c r="H12" i="9"/>
  <c r="H14" i="9"/>
  <c r="H16" i="9"/>
  <c r="H18" i="9"/>
  <c r="H20" i="9"/>
  <c r="H22" i="9"/>
  <c r="H24" i="9"/>
  <c r="H26" i="9"/>
  <c r="H5" i="9"/>
  <c r="H7" i="9"/>
  <c r="H9" i="9"/>
  <c r="H11" i="9"/>
  <c r="H13" i="9"/>
  <c r="H15" i="9"/>
  <c r="H17" i="9"/>
  <c r="H19" i="9"/>
  <c r="H21" i="9"/>
  <c r="H23" i="9"/>
  <c r="H27" i="9"/>
  <c r="H29" i="9"/>
  <c r="H3" i="9"/>
  <c r="H3" i="4"/>
  <c r="H5" i="4"/>
  <c r="H7" i="4"/>
  <c r="H9" i="4"/>
  <c r="H11" i="4"/>
  <c r="H13" i="4"/>
  <c r="H15" i="4"/>
  <c r="H17" i="4"/>
  <c r="H19" i="4"/>
  <c r="H21" i="4"/>
  <c r="H4" i="4"/>
  <c r="H6" i="4"/>
  <c r="H8" i="4"/>
  <c r="H10" i="4"/>
  <c r="H12" i="4"/>
  <c r="H14" i="4"/>
  <c r="H16" i="4"/>
  <c r="H18" i="4"/>
  <c r="H20" i="4"/>
  <c r="E3" i="6"/>
  <c r="E7" i="6"/>
  <c r="E11" i="6"/>
  <c r="E15" i="6"/>
  <c r="E19" i="6"/>
  <c r="E4" i="6"/>
  <c r="E8" i="6"/>
  <c r="E12" i="6"/>
  <c r="E16" i="6"/>
  <c r="E20" i="6"/>
  <c r="E5" i="6"/>
  <c r="E9" i="6"/>
  <c r="E13" i="6"/>
  <c r="E17" i="6"/>
  <c r="E21" i="6"/>
  <c r="E6" i="6"/>
  <c r="E10" i="6"/>
  <c r="E14" i="6"/>
  <c r="E18" i="6"/>
  <c r="E2" i="6"/>
  <c r="H3" i="5"/>
  <c r="H5" i="5"/>
  <c r="H7" i="5"/>
  <c r="H9" i="5"/>
  <c r="H13" i="5"/>
  <c r="H15" i="5"/>
  <c r="H21" i="5"/>
  <c r="H4" i="5"/>
  <c r="H6" i="5"/>
  <c r="H8" i="5"/>
  <c r="H10" i="5"/>
  <c r="H12" i="5"/>
  <c r="H14" i="5"/>
  <c r="H16" i="5"/>
  <c r="H18" i="5"/>
  <c r="H20" i="5"/>
  <c r="H11" i="5"/>
  <c r="H17" i="5"/>
  <c r="H19" i="5"/>
  <c r="H2" i="5"/>
  <c r="D3" i="6"/>
  <c r="D7" i="6"/>
  <c r="D11" i="6"/>
  <c r="D15" i="6"/>
  <c r="D19" i="6"/>
  <c r="D4" i="6"/>
  <c r="D8" i="6"/>
  <c r="D12" i="6"/>
  <c r="D16" i="6"/>
  <c r="D20" i="6"/>
  <c r="D9" i="6"/>
  <c r="D13" i="6"/>
  <c r="D17" i="6"/>
  <c r="D21" i="6"/>
  <c r="D6" i="6"/>
  <c r="D14" i="6"/>
  <c r="D18" i="6"/>
  <c r="D5" i="6"/>
  <c r="D10" i="6"/>
  <c r="D2" i="6"/>
  <c r="H2" i="4"/>
  <c r="C3" i="6"/>
  <c r="C7" i="6"/>
  <c r="C11" i="6"/>
  <c r="C15" i="6"/>
  <c r="C19" i="6"/>
  <c r="C4" i="6"/>
  <c r="C8" i="6"/>
  <c r="C12" i="6"/>
  <c r="C16" i="6"/>
  <c r="C20" i="6"/>
  <c r="C5" i="6"/>
  <c r="C9" i="6"/>
  <c r="C13" i="6"/>
  <c r="C17" i="6"/>
  <c r="C21" i="6"/>
  <c r="C6" i="6"/>
  <c r="C10" i="6"/>
  <c r="C14" i="6"/>
  <c r="C18" i="6"/>
  <c r="C2" i="6"/>
  <c r="H2" i="3"/>
  <c r="H3" i="3"/>
  <c r="H4" i="3"/>
  <c r="H6" i="3"/>
  <c r="H8" i="3"/>
  <c r="H10" i="3"/>
  <c r="H12" i="3"/>
  <c r="H14" i="3"/>
  <c r="H16" i="3"/>
  <c r="H18" i="3"/>
  <c r="H20" i="3"/>
  <c r="H5" i="3"/>
  <c r="H7" i="3"/>
  <c r="H9" i="3"/>
  <c r="H11" i="3"/>
  <c r="H13" i="3"/>
  <c r="H15" i="3"/>
  <c r="H17" i="3"/>
  <c r="H19" i="3"/>
  <c r="H21" i="3"/>
  <c r="B3" i="6"/>
  <c r="B9" i="6"/>
  <c r="B17" i="6"/>
  <c r="B4" i="6"/>
  <c r="B8" i="6"/>
  <c r="B12" i="6"/>
  <c r="B16" i="6"/>
  <c r="B20" i="6"/>
  <c r="B11" i="6"/>
  <c r="B19" i="6"/>
  <c r="B5" i="6"/>
  <c r="B13" i="6"/>
  <c r="B21" i="6"/>
  <c r="B6" i="6"/>
  <c r="B10" i="6"/>
  <c r="B14" i="6"/>
  <c r="B18" i="6"/>
  <c r="B7" i="6"/>
  <c r="B15" i="6"/>
  <c r="B2" i="6"/>
  <c r="H3" i="2"/>
  <c r="H5" i="2"/>
  <c r="H7" i="2"/>
  <c r="H9" i="2"/>
  <c r="H11" i="2"/>
  <c r="H13" i="2"/>
  <c r="H15" i="2"/>
  <c r="H17" i="2"/>
  <c r="H19" i="2"/>
  <c r="H21" i="2"/>
  <c r="H4" i="2"/>
  <c r="H6" i="2"/>
  <c r="H8" i="2"/>
  <c r="H10" i="2"/>
  <c r="H12" i="2"/>
  <c r="H14" i="2"/>
  <c r="H16" i="2"/>
  <c r="H18" i="2"/>
  <c r="H20" i="2"/>
  <c r="H2" i="2"/>
  <c r="A5" i="6"/>
  <c r="A9" i="6"/>
  <c r="A13" i="6"/>
  <c r="A17" i="6"/>
  <c r="A21" i="6"/>
  <c r="A6" i="6"/>
  <c r="A10" i="6"/>
  <c r="A14" i="6"/>
  <c r="A18" i="6"/>
  <c r="A2" i="6"/>
  <c r="A3" i="6"/>
  <c r="A7" i="6"/>
  <c r="A11" i="6"/>
  <c r="A15" i="6"/>
  <c r="A19" i="6"/>
  <c r="A4" i="6"/>
  <c r="A8" i="6"/>
  <c r="A12" i="6"/>
  <c r="A16" i="6"/>
  <c r="A20" i="6"/>
  <c r="H3" i="1"/>
  <c r="H5" i="1"/>
  <c r="H7" i="1"/>
  <c r="H9" i="1"/>
  <c r="H11" i="1"/>
  <c r="H13" i="1"/>
  <c r="H15" i="1"/>
  <c r="H17" i="1"/>
  <c r="H19" i="1"/>
  <c r="H21" i="1"/>
  <c r="H4" i="1"/>
  <c r="H6" i="1"/>
  <c r="H8" i="1"/>
  <c r="H10" i="1"/>
  <c r="H12" i="1"/>
  <c r="H14" i="1"/>
  <c r="H16" i="1"/>
  <c r="H18" i="1"/>
  <c r="H20" i="1"/>
  <c r="H2" i="1"/>
  <c r="B2" i="7" l="1"/>
  <c r="D2" i="7"/>
  <c r="A2" i="7"/>
</calcChain>
</file>

<file path=xl/sharedStrings.xml><?xml version="1.0" encoding="utf-8"?>
<sst xmlns="http://schemas.openxmlformats.org/spreadsheetml/2006/main" count="82" uniqueCount="20">
  <si>
    <t>CC</t>
  </si>
  <si>
    <t>PR</t>
  </si>
  <si>
    <t>TA</t>
  </si>
  <si>
    <t>PFI</t>
  </si>
  <si>
    <t>CB</t>
  </si>
  <si>
    <t>VCP</t>
  </si>
  <si>
    <t>V</t>
  </si>
  <si>
    <t>ZONE A</t>
  </si>
  <si>
    <t>ZONE E</t>
  </si>
  <si>
    <t>ZONE D</t>
  </si>
  <si>
    <t>ZONE C</t>
  </si>
  <si>
    <t>ZONE B</t>
  </si>
  <si>
    <t>Acceptés</t>
  </si>
  <si>
    <t>Incertitudes</t>
  </si>
  <si>
    <t>Rejetés</t>
  </si>
  <si>
    <t>Score</t>
  </si>
  <si>
    <t>Les entreprises défaillantes</t>
  </si>
  <si>
    <t>Les entreprises en zone d'incertitude</t>
  </si>
  <si>
    <t>Les entreprises defaillantes</t>
  </si>
  <si>
    <t>les entreprises en zone d'incertitude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</si>
</sst>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C8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0" fontId="2" fillId="2" borderId="0" xfId="0" applyFont="1" applyFill="1"/>
    <xf numFmtId="0" fontId="2" fillId="3" borderId="0" xfId="0" applyFont="1" applyFill="1"/>
    <xf numFmtId="0" fontId="2" fillId="4" borderId="0" xfId="0" applyFont="1" applyFill="1"/>
    <xf numFmtId="0" fontId="0" fillId="3" borderId="0" xfId="0" applyFill="1"/>
    <xf numFmtId="0" fontId="3" fillId="0" borderId="0" xfId="0" applyFont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C813"/>
      <color rgb="FFF5272C"/>
      <color rgb="FF00763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explosion val="38"/>
          <c:dPt>
            <c:idx val="0"/>
            <c:bubble3D val="0"/>
            <c:spPr>
              <a:solidFill>
                <a:srgbClr val="00C813"/>
              </a:solidFill>
              <a:ln w="25400">
                <a:solidFill>
                  <a:srgbClr val="00C813"/>
                </a:solidFill>
              </a:ln>
              <a:effectLst/>
              <a:sp3d contourW="25400">
                <a:contourClr>
                  <a:srgbClr val="00C813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ED8-477B-BEFC-8AE8A22815B1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25400">
                <a:solidFill>
                  <a:srgbClr val="FFFF00"/>
                </a:solidFill>
              </a:ln>
              <a:effectLst/>
              <a:sp3d contourW="25400">
                <a:contourClr>
                  <a:srgbClr val="FFFF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1ED8-477B-BEFC-8AE8A22815B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2DF-4E59-8801-27C8E5FA6ECC}"/>
              </c:ext>
            </c:extLst>
          </c:dPt>
          <c:dPt>
            <c:idx val="3"/>
            <c:bubble3D val="0"/>
            <c:explosion val="13"/>
            <c:spPr>
              <a:solidFill>
                <a:srgbClr val="FF0000"/>
              </a:solidFill>
              <a:ln w="25400">
                <a:solidFill>
                  <a:srgbClr val="FF0000"/>
                </a:solidFill>
              </a:ln>
              <a:effectLst/>
              <a:sp3d contourW="25400">
                <a:contourClr>
                  <a:srgbClr val="FF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ED8-477B-BEFC-8AE8A22815B1}"/>
              </c:ext>
            </c:extLst>
          </c:dPt>
          <c:dLbls>
            <c:dLbl>
              <c:idx val="0"/>
              <c:layout>
                <c:manualLayout>
                  <c:x val="-9.5263012251264115E-2"/>
                  <c:y val="7.0066995946834285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2CFA0DF2-F453-4C8E-BFF4-7A53C3AAFEBA}" type="VALUE">
                      <a:rPr lang="en-US" sz="1400" b="1">
                        <a:solidFill>
                          <a:sysClr val="windowText" lastClr="000000"/>
                        </a:solidFill>
                      </a:rPr>
                      <a:pPr>
                        <a:defRPr b="1"/>
                      </a:pPr>
                      <a:t>[VALEUR]</a:t>
                    </a:fld>
                    <a:endParaRPr lang="fr-SN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1ED8-477B-BEFC-8AE8A22815B1}"/>
                </c:ext>
              </c:extLst>
            </c:dLbl>
            <c:dLbl>
              <c:idx val="1"/>
              <c:layout>
                <c:manualLayout>
                  <c:x val="-8.1933452407905963E-2"/>
                  <c:y val="-0.29600419013053125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82B21150-94AD-40A0-BA0B-70AF0E7F6EA5}" type="VALUE">
                      <a:rPr lang="en-US" sz="1400" b="1">
                        <a:solidFill>
                          <a:sysClr val="windowText" lastClr="000000"/>
                        </a:solidFill>
                      </a:rPr>
                      <a:pPr>
                        <a:defRPr b="1"/>
                      </a:pPr>
                      <a:t>[VALEUR]</a:t>
                    </a:fld>
                    <a:endParaRPr lang="fr-SN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6283280085197002E-2"/>
                      <c:h val="0.1149190315974040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1ED8-477B-BEFC-8AE8A22815B1}"/>
                </c:ext>
              </c:extLst>
            </c:dLbl>
            <c:dLbl>
              <c:idx val="3"/>
              <c:layout>
                <c:manualLayout>
                  <c:x val="7.924211550233537E-2"/>
                  <c:y val="6.073469797797293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63393240-EF7F-4E92-BDF7-1D3EEEF56C26}" type="VALUE">
                      <a:rPr lang="en-US" sz="1400" b="1">
                        <a:solidFill>
                          <a:sysClr val="windowText" lastClr="000000"/>
                        </a:solidFill>
                      </a:rPr>
                      <a:pPr>
                        <a:defRPr b="1"/>
                      </a:pPr>
                      <a:t>[VALEUR]</a:t>
                    </a:fld>
                    <a:endParaRPr lang="fr-SN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1ED8-477B-BEFC-8AE8A22815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'Calcul et diagramme'!$A$1:$D$1</c:f>
              <c:strCache>
                <c:ptCount val="4"/>
                <c:pt idx="0">
                  <c:v>Acceptés</c:v>
                </c:pt>
                <c:pt idx="1">
                  <c:v>Incertitudes</c:v>
                </c:pt>
                <c:pt idx="3">
                  <c:v>Rejetés</c:v>
                </c:pt>
              </c:strCache>
            </c:strRef>
          </c:cat>
          <c:val>
            <c:numRef>
              <c:f>'Calcul et diagramme'!$A$2:$D$2</c:f>
              <c:numCache>
                <c:formatCode>General</c:formatCode>
                <c:ptCount val="4"/>
                <c:pt idx="0">
                  <c:v>27</c:v>
                </c:pt>
                <c:pt idx="1">
                  <c:v>37</c:v>
                </c:pt>
                <c:pt idx="3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D8-477B-BEFC-8AE8A2281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ayout>
        <c:manualLayout>
          <c:xMode val="edge"/>
          <c:yMode val="edge"/>
          <c:x val="0.82410923863017471"/>
          <c:y val="0.28595392199780567"/>
          <c:w val="0.14081004251465373"/>
          <c:h val="0.3415508330760984"/>
        </c:manualLayout>
      </c:layout>
      <c:overlay val="0"/>
      <c:spPr>
        <a:solidFill>
          <a:schemeClr val="bg1"/>
        </a:solidFill>
        <a:ln w="3175">
          <a:solidFill>
            <a:schemeClr val="bg1"/>
          </a:solidFill>
        </a:ln>
        <a:effectLst>
          <a:glow>
            <a:schemeClr val="accent1">
              <a:alpha val="40000"/>
            </a:schemeClr>
          </a:glow>
        </a:effectLst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200025</xdr:colOff>
      <xdr:row>0</xdr:row>
      <xdr:rowOff>114300</xdr:rowOff>
    </xdr:from>
    <xdr:to>
      <xdr:col>12</xdr:col>
      <xdr:colOff>66675</xdr:colOff>
      <xdr:row>18</xdr:row>
      <xdr:rowOff>61912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A8A3F782-38AC-4D86-B924-4A4B4507F1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 filterMode="1"/>
  <dimension ref="A1:H21"/>
  <sheetViews>
    <sheetView workbookViewId="0">
      <selection sqref="A1:H19"/>
    </sheetView>
  </sheetViews>
  <sheetFormatPr baseColWidth="10" defaultRowHeight="15" x14ac:dyDescent="0.25"/>
  <cols>
    <col min="1" max="7" width="11.42578125" style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15</v>
      </c>
    </row>
    <row r="2" spans="1:8" hidden="1" x14ac:dyDescent="0.25">
      <c r="A2" s="1">
        <v>-12669592</v>
      </c>
      <c r="B2" s="1">
        <v>10220287</v>
      </c>
      <c r="C2" s="1">
        <v>11602297</v>
      </c>
      <c r="D2" s="1">
        <v>10120287</v>
      </c>
      <c r="E2" s="1">
        <v>356403</v>
      </c>
      <c r="F2" s="1">
        <v>24271889</v>
      </c>
      <c r="G2" s="1">
        <v>10632838</v>
      </c>
      <c r="H2">
        <f>Score_Altman(A2,B2,C2,D2,E2,F2,G2)</f>
        <v>3.7256641387939453</v>
      </c>
    </row>
    <row r="3" spans="1:8" x14ac:dyDescent="0.25">
      <c r="A3" s="1">
        <v>25099</v>
      </c>
      <c r="B3" s="1">
        <v>4788760</v>
      </c>
      <c r="C3" s="1">
        <v>13566555</v>
      </c>
      <c r="D3" s="1">
        <v>4688760</v>
      </c>
      <c r="E3" s="1">
        <v>304782</v>
      </c>
      <c r="F3" s="1">
        <v>13541456</v>
      </c>
      <c r="G3" s="1">
        <v>5057196</v>
      </c>
      <c r="H3">
        <f t="shared" ref="H3:H21" si="0">Score_Altman(A3,B3,C3,D3,E3,F3,G3)</f>
        <v>2.022815465927124</v>
      </c>
    </row>
    <row r="4" spans="1:8" hidden="1" x14ac:dyDescent="0.25">
      <c r="A4" s="1">
        <v>5697159</v>
      </c>
      <c r="B4" s="1">
        <v>3196660</v>
      </c>
      <c r="C4" s="1">
        <v>24032434</v>
      </c>
      <c r="D4" s="1">
        <v>3096660</v>
      </c>
      <c r="E4" s="1">
        <v>123104</v>
      </c>
      <c r="F4" s="1">
        <v>18335275</v>
      </c>
      <c r="G4" s="1">
        <v>3669992</v>
      </c>
      <c r="H4">
        <f t="shared" si="0"/>
        <v>1.0524954795837402</v>
      </c>
    </row>
    <row r="5" spans="1:8" hidden="1" x14ac:dyDescent="0.25">
      <c r="A5" s="1">
        <v>115702</v>
      </c>
      <c r="B5" s="1">
        <v>13625272</v>
      </c>
      <c r="C5" s="1">
        <v>14446232</v>
      </c>
      <c r="D5" s="1">
        <v>13525272</v>
      </c>
      <c r="E5" s="1">
        <v>476972</v>
      </c>
      <c r="F5" s="1">
        <v>14330530</v>
      </c>
      <c r="G5" s="1">
        <v>14166333</v>
      </c>
      <c r="H5">
        <f t="shared" si="0"/>
        <v>5.4192872047424316</v>
      </c>
    </row>
    <row r="6" spans="1:8" hidden="1" x14ac:dyDescent="0.25">
      <c r="A6" s="1">
        <v>3816720</v>
      </c>
      <c r="B6" s="1">
        <v>9331367</v>
      </c>
      <c r="C6" s="1">
        <v>16832148</v>
      </c>
      <c r="D6" s="1">
        <v>9231367</v>
      </c>
      <c r="E6" s="1">
        <v>309696</v>
      </c>
      <c r="F6" s="1">
        <v>13015428</v>
      </c>
      <c r="G6" s="1">
        <v>10023146</v>
      </c>
      <c r="H6">
        <f t="shared" si="0"/>
        <v>3.4672293663024902</v>
      </c>
    </row>
    <row r="7" spans="1:8" x14ac:dyDescent="0.25">
      <c r="A7" s="1">
        <v>14124528</v>
      </c>
      <c r="B7" s="1">
        <v>7460138</v>
      </c>
      <c r="C7" s="1">
        <v>24258979</v>
      </c>
      <c r="D7" s="1">
        <v>7360138</v>
      </c>
      <c r="E7" s="1">
        <v>458504</v>
      </c>
      <c r="F7" s="1">
        <v>10134451</v>
      </c>
      <c r="G7" s="1">
        <v>8241103</v>
      </c>
      <c r="H7">
        <f t="shared" si="0"/>
        <v>2.4969499111175537</v>
      </c>
    </row>
    <row r="8" spans="1:8" x14ac:dyDescent="0.25">
      <c r="A8" s="1">
        <v>1559563</v>
      </c>
      <c r="B8" s="1">
        <v>8221100</v>
      </c>
      <c r="C8" s="1">
        <v>19201074</v>
      </c>
      <c r="D8" s="1">
        <v>8121100</v>
      </c>
      <c r="E8" s="1">
        <v>410821</v>
      </c>
      <c r="F8" s="1">
        <v>17641511</v>
      </c>
      <c r="G8" s="1">
        <v>8583139</v>
      </c>
      <c r="H8">
        <f t="shared" si="0"/>
        <v>2.5531637668609619</v>
      </c>
    </row>
    <row r="9" spans="1:8" hidden="1" x14ac:dyDescent="0.25">
      <c r="A9" s="1">
        <v>7220041</v>
      </c>
      <c r="B9" s="1">
        <v>3141192</v>
      </c>
      <c r="C9" s="1">
        <v>19726999</v>
      </c>
      <c r="D9" s="1">
        <v>3041192</v>
      </c>
      <c r="E9" s="1">
        <v>113888</v>
      </c>
      <c r="F9" s="1">
        <v>12506958</v>
      </c>
      <c r="G9" s="1">
        <v>3469461</v>
      </c>
      <c r="H9">
        <f t="shared" si="0"/>
        <v>1.3520263433456421</v>
      </c>
    </row>
    <row r="10" spans="1:8" x14ac:dyDescent="0.25">
      <c r="A10" s="1">
        <v>-7705792</v>
      </c>
      <c r="B10" s="1">
        <v>6297910</v>
      </c>
      <c r="C10" s="1">
        <v>13749043</v>
      </c>
      <c r="D10" s="1">
        <v>6197910</v>
      </c>
      <c r="E10" s="1">
        <v>223844</v>
      </c>
      <c r="F10" s="1">
        <v>21454835</v>
      </c>
      <c r="G10" s="1">
        <v>7004684</v>
      </c>
      <c r="H10">
        <f t="shared" si="0"/>
        <v>1.9715535640716553</v>
      </c>
    </row>
    <row r="11" spans="1:8" hidden="1" x14ac:dyDescent="0.25">
      <c r="A11" s="1">
        <v>-5770669</v>
      </c>
      <c r="B11" s="1">
        <v>10843396</v>
      </c>
      <c r="C11" s="1">
        <v>13446647</v>
      </c>
      <c r="D11" s="1">
        <v>10743396</v>
      </c>
      <c r="E11" s="1">
        <v>293434</v>
      </c>
      <c r="F11" s="1">
        <v>19217316</v>
      </c>
      <c r="G11" s="1">
        <v>11620394</v>
      </c>
      <c r="H11">
        <f t="shared" si="0"/>
        <v>4.123044490814209</v>
      </c>
    </row>
    <row r="12" spans="1:8" hidden="1" x14ac:dyDescent="0.25">
      <c r="A12" s="1">
        <v>162202</v>
      </c>
      <c r="B12" s="1">
        <v>2707649</v>
      </c>
      <c r="C12" s="1">
        <v>23575056</v>
      </c>
      <c r="D12" s="1">
        <v>2607649</v>
      </c>
      <c r="E12" s="1">
        <v>245758</v>
      </c>
      <c r="F12" s="1">
        <v>23412854</v>
      </c>
      <c r="G12" s="1">
        <v>3471145</v>
      </c>
      <c r="H12">
        <f t="shared" si="0"/>
        <v>0.68745297193527222</v>
      </c>
    </row>
    <row r="13" spans="1:8" hidden="1" x14ac:dyDescent="0.25">
      <c r="A13" s="1">
        <v>10279145</v>
      </c>
      <c r="B13" s="1">
        <v>4100015</v>
      </c>
      <c r="C13" s="1">
        <v>20671895</v>
      </c>
      <c r="D13" s="1">
        <v>4000015</v>
      </c>
      <c r="E13" s="1">
        <v>340240</v>
      </c>
      <c r="F13" s="1">
        <v>10392750</v>
      </c>
      <c r="G13" s="1">
        <v>4899009</v>
      </c>
      <c r="H13">
        <f t="shared" si="0"/>
        <v>1.7693206071853638</v>
      </c>
    </row>
    <row r="14" spans="1:8" hidden="1" x14ac:dyDescent="0.25">
      <c r="A14" s="1">
        <v>-816657</v>
      </c>
      <c r="B14" s="1">
        <v>3314632</v>
      </c>
      <c r="C14" s="1">
        <v>15620529</v>
      </c>
      <c r="D14" s="1">
        <v>3214632</v>
      </c>
      <c r="E14" s="1">
        <v>223387</v>
      </c>
      <c r="F14" s="1">
        <v>16437186</v>
      </c>
      <c r="G14" s="1">
        <v>4061840</v>
      </c>
      <c r="H14">
        <f t="shared" si="0"/>
        <v>1.1813898086547852</v>
      </c>
    </row>
    <row r="15" spans="1:8" hidden="1" x14ac:dyDescent="0.25">
      <c r="A15" s="1">
        <v>-4693175</v>
      </c>
      <c r="B15" s="1">
        <v>2622315</v>
      </c>
      <c r="C15" s="1">
        <v>14177487</v>
      </c>
      <c r="D15" s="1">
        <v>2522315</v>
      </c>
      <c r="E15" s="1">
        <v>407920</v>
      </c>
      <c r="F15" s="1">
        <v>18870662</v>
      </c>
      <c r="G15" s="1">
        <v>2986883</v>
      </c>
      <c r="H15">
        <f t="shared" si="0"/>
        <v>0.67225229740142822</v>
      </c>
    </row>
    <row r="16" spans="1:8" x14ac:dyDescent="0.25">
      <c r="A16" s="1">
        <v>11803165</v>
      </c>
      <c r="B16" s="1">
        <v>9120635</v>
      </c>
      <c r="C16" s="1">
        <v>24192612</v>
      </c>
      <c r="D16" s="1">
        <v>9020635</v>
      </c>
      <c r="E16" s="1">
        <v>189359</v>
      </c>
      <c r="F16" s="1">
        <v>12389447</v>
      </c>
      <c r="G16" s="1">
        <v>9397810</v>
      </c>
      <c r="H16">
        <f t="shared" si="0"/>
        <v>2.7409627437591553</v>
      </c>
    </row>
    <row r="17" spans="1:8" x14ac:dyDescent="0.25">
      <c r="A17" s="1">
        <v>5183016</v>
      </c>
      <c r="B17" s="1">
        <v>8787655</v>
      </c>
      <c r="C17" s="1">
        <v>19195036</v>
      </c>
      <c r="D17" s="1">
        <v>8687655</v>
      </c>
      <c r="E17" s="1">
        <v>123284</v>
      </c>
      <c r="F17" s="1">
        <v>14012020</v>
      </c>
      <c r="G17" s="1">
        <v>9587930</v>
      </c>
      <c r="H17">
        <f t="shared" si="0"/>
        <v>2.9628114700317383</v>
      </c>
    </row>
    <row r="18" spans="1:8" hidden="1" x14ac:dyDescent="0.25">
      <c r="A18" s="1">
        <v>2841324</v>
      </c>
      <c r="B18" s="1">
        <v>10208886</v>
      </c>
      <c r="C18" s="1">
        <v>17581204</v>
      </c>
      <c r="D18" s="1">
        <v>10108886</v>
      </c>
      <c r="E18" s="1">
        <v>100485</v>
      </c>
      <c r="F18" s="1">
        <v>14739880</v>
      </c>
      <c r="G18" s="1">
        <v>10915048</v>
      </c>
      <c r="H18">
        <f t="shared" si="0"/>
        <v>3.528620719909668</v>
      </c>
    </row>
    <row r="19" spans="1:8" x14ac:dyDescent="0.25">
      <c r="A19" s="1">
        <v>2034404</v>
      </c>
      <c r="B19" s="1">
        <v>6354879</v>
      </c>
      <c r="C19" s="1">
        <v>20751230</v>
      </c>
      <c r="D19" s="1">
        <v>6254879</v>
      </c>
      <c r="E19" s="1">
        <v>326177</v>
      </c>
      <c r="F19" s="1">
        <v>18716826</v>
      </c>
      <c r="G19" s="1">
        <v>7279835</v>
      </c>
      <c r="H19">
        <f t="shared" si="0"/>
        <v>1.9019956588745117</v>
      </c>
    </row>
    <row r="20" spans="1:8" hidden="1" x14ac:dyDescent="0.25">
      <c r="A20" s="1">
        <v>-1275318</v>
      </c>
      <c r="B20" s="1">
        <v>9373731</v>
      </c>
      <c r="C20" s="1">
        <v>16635128</v>
      </c>
      <c r="D20" s="1">
        <v>9273731</v>
      </c>
      <c r="E20" s="1">
        <v>231357</v>
      </c>
      <c r="F20" s="1">
        <v>17910446</v>
      </c>
      <c r="G20" s="1">
        <v>10109637</v>
      </c>
      <c r="H20">
        <f t="shared" si="0"/>
        <v>3.1514401435852051</v>
      </c>
    </row>
    <row r="21" spans="1:8" hidden="1" x14ac:dyDescent="0.25">
      <c r="A21" s="1">
        <v>-5685903</v>
      </c>
      <c r="B21" s="1">
        <v>2132209</v>
      </c>
      <c r="C21" s="1">
        <v>12453407</v>
      </c>
      <c r="D21" s="1">
        <v>2032209</v>
      </c>
      <c r="E21" s="1">
        <v>308071</v>
      </c>
      <c r="F21" s="1">
        <v>18139310</v>
      </c>
      <c r="G21" s="1">
        <v>2642118</v>
      </c>
      <c r="H21">
        <f t="shared" si="0"/>
        <v>0.45246067643165588</v>
      </c>
    </row>
  </sheetData>
  <autoFilter ref="A1:H21" xr:uid="{65067908-BBF5-4D0B-BA19-4B701E125281}">
    <filterColumn colId="7">
      <customFilters and="1">
        <customFilter operator="greaterThanOrEqual" val="1.81"/>
        <customFilter operator="lessThan" val="2.99"/>
      </custom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6088D-B216-4521-A385-3C4AB6044D11}">
  <dimension ref="A1:O39"/>
  <sheetViews>
    <sheetView topLeftCell="A11" workbookViewId="0">
      <selection activeCell="A32" sqref="A32"/>
    </sheetView>
  </sheetViews>
  <sheetFormatPr baseColWidth="10" defaultRowHeight="15" x14ac:dyDescent="0.25"/>
  <sheetData>
    <row r="1" spans="1:15" x14ac:dyDescent="0.25">
      <c r="A1" t="s">
        <v>16</v>
      </c>
      <c r="I1" t="s">
        <v>17</v>
      </c>
    </row>
    <row r="2" spans="1:15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I2" t="s">
        <v>0</v>
      </c>
      <c r="J2" t="s">
        <v>1</v>
      </c>
      <c r="K2" t="s">
        <v>2</v>
      </c>
      <c r="L2" t="s">
        <v>3</v>
      </c>
      <c r="M2" t="s">
        <v>4</v>
      </c>
      <c r="N2" t="s">
        <v>5</v>
      </c>
      <c r="O2" t="s">
        <v>6</v>
      </c>
    </row>
    <row r="3" spans="1:15" x14ac:dyDescent="0.25">
      <c r="A3">
        <v>5697159</v>
      </c>
      <c r="B3">
        <v>3196660</v>
      </c>
      <c r="C3">
        <v>24032434</v>
      </c>
      <c r="D3">
        <v>3096660</v>
      </c>
      <c r="E3">
        <v>123104</v>
      </c>
      <c r="F3">
        <v>18335275</v>
      </c>
      <c r="G3">
        <v>3669992</v>
      </c>
      <c r="I3">
        <v>25099</v>
      </c>
      <c r="J3">
        <v>4788760</v>
      </c>
      <c r="K3">
        <v>13566555</v>
      </c>
      <c r="L3">
        <v>4688760</v>
      </c>
      <c r="M3">
        <v>304782</v>
      </c>
      <c r="N3">
        <v>13541456</v>
      </c>
      <c r="O3">
        <v>5057196</v>
      </c>
    </row>
    <row r="4" spans="1:15" x14ac:dyDescent="0.25">
      <c r="A4">
        <v>7220041</v>
      </c>
      <c r="B4">
        <v>3141192</v>
      </c>
      <c r="C4">
        <v>19726999</v>
      </c>
      <c r="D4">
        <v>3041192</v>
      </c>
      <c r="E4">
        <v>113888</v>
      </c>
      <c r="F4">
        <v>12506958</v>
      </c>
      <c r="G4">
        <v>3469461</v>
      </c>
      <c r="I4">
        <v>14124528</v>
      </c>
      <c r="J4">
        <v>7460138</v>
      </c>
      <c r="K4">
        <v>24258979</v>
      </c>
      <c r="L4">
        <v>7360138</v>
      </c>
      <c r="M4">
        <v>458504</v>
      </c>
      <c r="N4">
        <v>10134451</v>
      </c>
      <c r="O4">
        <v>8241103</v>
      </c>
    </row>
    <row r="5" spans="1:15" x14ac:dyDescent="0.25">
      <c r="A5">
        <v>162202</v>
      </c>
      <c r="B5">
        <v>2707649</v>
      </c>
      <c r="C5">
        <v>23575056</v>
      </c>
      <c r="D5">
        <v>2607649</v>
      </c>
      <c r="E5">
        <v>245758</v>
      </c>
      <c r="F5">
        <v>23412854</v>
      </c>
      <c r="G5">
        <v>3471145</v>
      </c>
      <c r="I5">
        <v>1559563</v>
      </c>
      <c r="J5">
        <v>8221100</v>
      </c>
      <c r="K5">
        <v>19201074</v>
      </c>
      <c r="L5">
        <v>8121100</v>
      </c>
      <c r="M5">
        <v>410821</v>
      </c>
      <c r="N5">
        <v>17641511</v>
      </c>
      <c r="O5">
        <v>8583139</v>
      </c>
    </row>
    <row r="6" spans="1:15" x14ac:dyDescent="0.25">
      <c r="A6">
        <v>10279145</v>
      </c>
      <c r="B6">
        <v>4100015</v>
      </c>
      <c r="C6">
        <v>20671895</v>
      </c>
      <c r="D6">
        <v>4000015</v>
      </c>
      <c r="E6">
        <v>340240</v>
      </c>
      <c r="F6">
        <v>10392750</v>
      </c>
      <c r="G6">
        <v>4899009</v>
      </c>
      <c r="I6">
        <v>-7705792</v>
      </c>
      <c r="J6">
        <v>6297910</v>
      </c>
      <c r="K6">
        <v>13749043</v>
      </c>
      <c r="L6">
        <v>6197910</v>
      </c>
      <c r="M6">
        <v>223844</v>
      </c>
      <c r="N6">
        <v>21454835</v>
      </c>
      <c r="O6">
        <v>7004684</v>
      </c>
    </row>
    <row r="7" spans="1:15" x14ac:dyDescent="0.25">
      <c r="A7">
        <v>-816657</v>
      </c>
      <c r="B7">
        <v>3314632</v>
      </c>
      <c r="C7">
        <v>15620529</v>
      </c>
      <c r="D7">
        <v>3214632</v>
      </c>
      <c r="E7">
        <v>223387</v>
      </c>
      <c r="F7">
        <v>16437186</v>
      </c>
      <c r="G7">
        <v>4061840</v>
      </c>
      <c r="I7">
        <v>11803165</v>
      </c>
      <c r="J7">
        <v>9120635</v>
      </c>
      <c r="K7">
        <v>24192612</v>
      </c>
      <c r="L7">
        <v>9020635</v>
      </c>
      <c r="M7">
        <v>189359</v>
      </c>
      <c r="N7">
        <v>12389447</v>
      </c>
      <c r="O7">
        <v>9397810</v>
      </c>
    </row>
    <row r="8" spans="1:15" x14ac:dyDescent="0.25">
      <c r="A8">
        <v>-4693175</v>
      </c>
      <c r="B8">
        <v>2622315</v>
      </c>
      <c r="C8">
        <v>14177487</v>
      </c>
      <c r="D8">
        <v>2522315</v>
      </c>
      <c r="E8">
        <v>407920</v>
      </c>
      <c r="F8">
        <v>18870662</v>
      </c>
      <c r="G8">
        <v>2986883</v>
      </c>
      <c r="I8">
        <v>5183016</v>
      </c>
      <c r="J8">
        <v>8787655</v>
      </c>
      <c r="K8">
        <v>19195036</v>
      </c>
      <c r="L8">
        <v>8687655</v>
      </c>
      <c r="M8">
        <v>123284</v>
      </c>
      <c r="N8">
        <v>14012020</v>
      </c>
      <c r="O8">
        <v>9587930</v>
      </c>
    </row>
    <row r="9" spans="1:15" x14ac:dyDescent="0.25">
      <c r="A9">
        <v>-5685903</v>
      </c>
      <c r="B9">
        <v>2132209</v>
      </c>
      <c r="C9">
        <v>12453407</v>
      </c>
      <c r="D9">
        <v>2032209</v>
      </c>
      <c r="E9">
        <v>308071</v>
      </c>
      <c r="F9">
        <v>18139310</v>
      </c>
      <c r="G9">
        <v>2642118</v>
      </c>
      <c r="I9">
        <v>2034404</v>
      </c>
      <c r="J9">
        <v>6354879</v>
      </c>
      <c r="K9">
        <v>20751230</v>
      </c>
      <c r="L9">
        <v>6254879</v>
      </c>
      <c r="M9">
        <v>326177</v>
      </c>
      <c r="N9">
        <v>18716826</v>
      </c>
      <c r="O9">
        <v>7279835</v>
      </c>
    </row>
    <row r="10" spans="1:15" x14ac:dyDescent="0.25">
      <c r="A10">
        <v>-4705002</v>
      </c>
      <c r="B10">
        <v>49854</v>
      </c>
      <c r="C10">
        <v>12760474</v>
      </c>
      <c r="D10">
        <v>-50146</v>
      </c>
      <c r="E10">
        <v>264554</v>
      </c>
      <c r="F10">
        <v>17465476</v>
      </c>
      <c r="G10">
        <v>1009722</v>
      </c>
      <c r="I10">
        <v>10239761</v>
      </c>
      <c r="J10">
        <v>7216077</v>
      </c>
      <c r="K10">
        <v>22323551</v>
      </c>
      <c r="L10">
        <v>7116077</v>
      </c>
      <c r="M10">
        <v>181379</v>
      </c>
      <c r="N10">
        <v>12083790</v>
      </c>
      <c r="O10">
        <v>7815880</v>
      </c>
    </row>
    <row r="11" spans="1:15" x14ac:dyDescent="0.25">
      <c r="A11">
        <v>-8007787</v>
      </c>
      <c r="B11">
        <v>2257975</v>
      </c>
      <c r="C11">
        <v>13637467</v>
      </c>
      <c r="D11">
        <v>2157975</v>
      </c>
      <c r="E11">
        <v>225825</v>
      </c>
      <c r="F11">
        <v>21645254</v>
      </c>
      <c r="G11">
        <v>3042758</v>
      </c>
      <c r="I11">
        <v>-5188964</v>
      </c>
      <c r="J11">
        <v>6301456</v>
      </c>
      <c r="K11">
        <v>10585803</v>
      </c>
      <c r="L11">
        <v>6201456</v>
      </c>
      <c r="M11">
        <v>481592</v>
      </c>
      <c r="N11">
        <v>15774767</v>
      </c>
      <c r="O11">
        <v>6609908</v>
      </c>
    </row>
    <row r="12" spans="1:15" x14ac:dyDescent="0.25">
      <c r="A12">
        <v>9684313</v>
      </c>
      <c r="B12">
        <v>4759231</v>
      </c>
      <c r="C12">
        <v>22248542</v>
      </c>
      <c r="D12">
        <v>4659231</v>
      </c>
      <c r="E12">
        <v>344243</v>
      </c>
      <c r="F12">
        <v>12564229</v>
      </c>
      <c r="G12">
        <v>5569819</v>
      </c>
      <c r="I12">
        <v>8443487</v>
      </c>
      <c r="J12">
        <v>7677471</v>
      </c>
      <c r="K12">
        <v>18950949</v>
      </c>
      <c r="L12">
        <v>7577471</v>
      </c>
      <c r="M12">
        <v>138883</v>
      </c>
      <c r="N12">
        <v>10507462</v>
      </c>
      <c r="O12">
        <v>8442581</v>
      </c>
    </row>
    <row r="13" spans="1:15" x14ac:dyDescent="0.25">
      <c r="A13">
        <v>5206084</v>
      </c>
      <c r="B13">
        <v>2402015</v>
      </c>
      <c r="C13">
        <v>21742356</v>
      </c>
      <c r="D13">
        <v>2302015</v>
      </c>
      <c r="E13">
        <v>148290</v>
      </c>
      <c r="F13">
        <v>16536272</v>
      </c>
      <c r="G13">
        <v>2694615</v>
      </c>
      <c r="I13">
        <v>-10450267</v>
      </c>
      <c r="J13">
        <v>7723385</v>
      </c>
      <c r="K13">
        <v>14483512</v>
      </c>
      <c r="L13">
        <v>7623385</v>
      </c>
      <c r="M13">
        <v>363396</v>
      </c>
      <c r="N13">
        <v>24933779</v>
      </c>
      <c r="O13">
        <v>8287099</v>
      </c>
    </row>
    <row r="14" spans="1:15" x14ac:dyDescent="0.25">
      <c r="A14">
        <v>9567109</v>
      </c>
      <c r="B14">
        <v>2080415</v>
      </c>
      <c r="C14">
        <v>23002305</v>
      </c>
      <c r="D14">
        <v>1980415</v>
      </c>
      <c r="E14">
        <v>199289</v>
      </c>
      <c r="F14">
        <v>13435196</v>
      </c>
      <c r="G14">
        <v>2915591</v>
      </c>
      <c r="I14">
        <v>9067748</v>
      </c>
      <c r="J14">
        <v>6505027</v>
      </c>
      <c r="K14">
        <v>22729020</v>
      </c>
      <c r="L14">
        <v>6405027</v>
      </c>
      <c r="M14">
        <v>201039</v>
      </c>
      <c r="N14">
        <v>13661272</v>
      </c>
      <c r="O14">
        <v>7461786</v>
      </c>
    </row>
    <row r="15" spans="1:15" x14ac:dyDescent="0.25">
      <c r="A15">
        <v>5640419</v>
      </c>
      <c r="B15">
        <v>5228828</v>
      </c>
      <c r="C15">
        <v>25743034</v>
      </c>
      <c r="D15">
        <v>5128828</v>
      </c>
      <c r="E15">
        <v>306697</v>
      </c>
      <c r="F15">
        <v>20102615</v>
      </c>
      <c r="G15">
        <v>6114153</v>
      </c>
      <c r="I15">
        <v>-795227</v>
      </c>
      <c r="J15">
        <v>10817831</v>
      </c>
      <c r="K15">
        <v>22192778</v>
      </c>
      <c r="L15">
        <v>10717831</v>
      </c>
      <c r="M15">
        <v>200485</v>
      </c>
      <c r="N15">
        <v>22988005</v>
      </c>
      <c r="O15">
        <v>11319869</v>
      </c>
    </row>
    <row r="16" spans="1:15" x14ac:dyDescent="0.25">
      <c r="A16">
        <v>-3225736</v>
      </c>
      <c r="B16">
        <v>4960797</v>
      </c>
      <c r="C16">
        <v>19580822</v>
      </c>
      <c r="D16">
        <v>4860797</v>
      </c>
      <c r="E16">
        <v>365350</v>
      </c>
      <c r="F16">
        <v>22806558</v>
      </c>
      <c r="G16">
        <v>5597803</v>
      </c>
      <c r="I16">
        <v>-467841</v>
      </c>
      <c r="J16">
        <v>6960226</v>
      </c>
      <c r="K16">
        <v>15805880</v>
      </c>
      <c r="L16">
        <v>6860226</v>
      </c>
      <c r="M16">
        <v>207048</v>
      </c>
      <c r="N16">
        <v>16273721</v>
      </c>
      <c r="O16">
        <v>7606049</v>
      </c>
    </row>
    <row r="17" spans="1:15" x14ac:dyDescent="0.25">
      <c r="A17">
        <v>1153126</v>
      </c>
      <c r="B17">
        <v>3656309</v>
      </c>
      <c r="C17">
        <v>22435472</v>
      </c>
      <c r="D17">
        <v>3556309</v>
      </c>
      <c r="E17">
        <v>370975</v>
      </c>
      <c r="F17">
        <v>21282346</v>
      </c>
      <c r="G17">
        <v>4634339</v>
      </c>
      <c r="I17">
        <v>-4071868</v>
      </c>
      <c r="J17">
        <v>8971976</v>
      </c>
      <c r="K17">
        <v>15701038</v>
      </c>
      <c r="L17">
        <v>8871976</v>
      </c>
      <c r="M17">
        <v>203124</v>
      </c>
      <c r="N17">
        <v>19772906</v>
      </c>
      <c r="O17">
        <v>9253255</v>
      </c>
    </row>
    <row r="18" spans="1:15" x14ac:dyDescent="0.25">
      <c r="A18">
        <v>-12405719</v>
      </c>
      <c r="B18">
        <v>749472</v>
      </c>
      <c r="C18">
        <v>11625342</v>
      </c>
      <c r="D18">
        <v>649472</v>
      </c>
      <c r="E18">
        <v>485882</v>
      </c>
      <c r="F18">
        <v>24031061</v>
      </c>
      <c r="G18">
        <v>1704025</v>
      </c>
      <c r="I18">
        <v>792206</v>
      </c>
      <c r="J18">
        <v>10563750</v>
      </c>
      <c r="K18">
        <v>22159962</v>
      </c>
      <c r="L18">
        <v>10463750</v>
      </c>
      <c r="M18">
        <v>208170</v>
      </c>
      <c r="N18">
        <v>21367756</v>
      </c>
      <c r="O18">
        <v>10921264</v>
      </c>
    </row>
    <row r="19" spans="1:15" x14ac:dyDescent="0.25">
      <c r="A19">
        <v>4585375</v>
      </c>
      <c r="B19">
        <v>3051865</v>
      </c>
      <c r="C19">
        <v>16049610</v>
      </c>
      <c r="D19">
        <v>2951865</v>
      </c>
      <c r="E19">
        <v>461580</v>
      </c>
      <c r="F19">
        <v>11464235</v>
      </c>
      <c r="G19">
        <v>3695361</v>
      </c>
      <c r="I19">
        <v>4210530</v>
      </c>
      <c r="J19">
        <v>8992874</v>
      </c>
      <c r="K19">
        <v>19122529</v>
      </c>
      <c r="L19">
        <v>8892874</v>
      </c>
      <c r="M19">
        <v>255600</v>
      </c>
      <c r="N19">
        <v>14911999</v>
      </c>
      <c r="O19">
        <v>9287741</v>
      </c>
    </row>
    <row r="20" spans="1:15" x14ac:dyDescent="0.25">
      <c r="A20">
        <v>2658190</v>
      </c>
      <c r="B20">
        <v>5882746</v>
      </c>
      <c r="C20">
        <v>24548838</v>
      </c>
      <c r="D20">
        <v>5782746</v>
      </c>
      <c r="E20">
        <v>189074</v>
      </c>
      <c r="F20">
        <v>21890648</v>
      </c>
      <c r="G20">
        <v>6665520</v>
      </c>
      <c r="I20">
        <v>4819843</v>
      </c>
      <c r="J20">
        <v>6813112</v>
      </c>
      <c r="K20">
        <v>23154062</v>
      </c>
      <c r="L20">
        <v>6713112</v>
      </c>
      <c r="M20">
        <v>266841</v>
      </c>
      <c r="N20">
        <v>18334219</v>
      </c>
      <c r="O20">
        <v>7410181</v>
      </c>
    </row>
    <row r="21" spans="1:15" x14ac:dyDescent="0.25">
      <c r="A21">
        <v>-3924307</v>
      </c>
      <c r="B21">
        <v>2011386</v>
      </c>
      <c r="C21">
        <v>20764602</v>
      </c>
      <c r="D21">
        <v>1911386</v>
      </c>
      <c r="E21">
        <v>231851</v>
      </c>
      <c r="F21">
        <v>24688909</v>
      </c>
      <c r="G21">
        <v>2140499</v>
      </c>
      <c r="I21">
        <v>1524804</v>
      </c>
      <c r="J21">
        <v>5173541</v>
      </c>
      <c r="K21">
        <v>17658795</v>
      </c>
      <c r="L21">
        <v>5073541</v>
      </c>
      <c r="M21">
        <v>449026</v>
      </c>
      <c r="N21">
        <v>16133991</v>
      </c>
      <c r="O21">
        <v>5878212</v>
      </c>
    </row>
    <row r="22" spans="1:15" x14ac:dyDescent="0.25">
      <c r="A22">
        <v>-5527357</v>
      </c>
      <c r="B22">
        <v>2634310</v>
      </c>
      <c r="C22">
        <v>17167143</v>
      </c>
      <c r="D22">
        <v>2534310</v>
      </c>
      <c r="E22">
        <v>225513</v>
      </c>
      <c r="F22">
        <v>22694500</v>
      </c>
      <c r="G22">
        <v>3438036</v>
      </c>
      <c r="I22">
        <v>-1946723</v>
      </c>
      <c r="J22">
        <v>6728620</v>
      </c>
      <c r="K22">
        <v>15406364</v>
      </c>
      <c r="L22">
        <v>6628620</v>
      </c>
      <c r="M22">
        <v>228340</v>
      </c>
      <c r="N22">
        <v>17353087</v>
      </c>
      <c r="O22">
        <v>6896293</v>
      </c>
    </row>
    <row r="23" spans="1:15" x14ac:dyDescent="0.25">
      <c r="A23">
        <v>8631307</v>
      </c>
      <c r="B23">
        <v>4043264</v>
      </c>
      <c r="C23">
        <v>20863713</v>
      </c>
      <c r="D23">
        <v>3943264</v>
      </c>
      <c r="E23">
        <v>216505</v>
      </c>
      <c r="F23">
        <v>12232406</v>
      </c>
      <c r="G23">
        <v>5041157</v>
      </c>
      <c r="I23">
        <v>2101397</v>
      </c>
      <c r="J23">
        <v>8502703</v>
      </c>
      <c r="K23">
        <v>20815120</v>
      </c>
      <c r="L23">
        <v>8402703</v>
      </c>
      <c r="M23">
        <v>309383</v>
      </c>
      <c r="N23">
        <v>18713723</v>
      </c>
      <c r="O23">
        <v>9212010</v>
      </c>
    </row>
    <row r="24" spans="1:15" x14ac:dyDescent="0.25">
      <c r="A24">
        <v>-6873012</v>
      </c>
      <c r="B24">
        <v>1468236</v>
      </c>
      <c r="C24">
        <v>16714157</v>
      </c>
      <c r="D24">
        <v>1368236</v>
      </c>
      <c r="E24">
        <v>103916</v>
      </c>
      <c r="F24">
        <v>23587169</v>
      </c>
      <c r="G24">
        <v>1876747</v>
      </c>
      <c r="I24">
        <v>8695609</v>
      </c>
      <c r="J24">
        <v>5934684</v>
      </c>
      <c r="K24">
        <v>21803518</v>
      </c>
      <c r="L24">
        <v>5834684</v>
      </c>
      <c r="M24">
        <v>478604</v>
      </c>
      <c r="N24">
        <v>13107909</v>
      </c>
      <c r="O24">
        <v>6794410</v>
      </c>
    </row>
    <row r="25" spans="1:15" x14ac:dyDescent="0.25">
      <c r="A25">
        <v>-225852</v>
      </c>
      <c r="B25">
        <v>1566182</v>
      </c>
      <c r="C25">
        <v>19721372</v>
      </c>
      <c r="D25">
        <v>1466182</v>
      </c>
      <c r="E25">
        <v>478732</v>
      </c>
      <c r="F25">
        <v>19947224</v>
      </c>
      <c r="G25">
        <v>2268761</v>
      </c>
      <c r="I25">
        <v>11842621</v>
      </c>
      <c r="J25">
        <v>5946111</v>
      </c>
      <c r="K25">
        <v>23514900</v>
      </c>
      <c r="L25">
        <v>5846111</v>
      </c>
      <c r="M25">
        <v>445298</v>
      </c>
      <c r="N25">
        <v>11672279</v>
      </c>
      <c r="O25">
        <v>6142666</v>
      </c>
    </row>
    <row r="26" spans="1:15" x14ac:dyDescent="0.25">
      <c r="A26">
        <v>-1273462</v>
      </c>
      <c r="B26">
        <v>2532301</v>
      </c>
      <c r="C26">
        <v>14262889</v>
      </c>
      <c r="D26">
        <v>2432301</v>
      </c>
      <c r="E26">
        <v>302741</v>
      </c>
      <c r="F26">
        <v>15536351</v>
      </c>
      <c r="G26">
        <v>3461521</v>
      </c>
      <c r="I26">
        <v>4948429</v>
      </c>
      <c r="J26">
        <v>6452618</v>
      </c>
      <c r="K26">
        <v>23486157</v>
      </c>
      <c r="L26">
        <v>6352618</v>
      </c>
      <c r="M26">
        <v>323819</v>
      </c>
      <c r="N26">
        <v>18537728</v>
      </c>
      <c r="O26">
        <v>6902284</v>
      </c>
    </row>
    <row r="27" spans="1:15" x14ac:dyDescent="0.25">
      <c r="A27">
        <v>-127677</v>
      </c>
      <c r="B27">
        <v>4905012</v>
      </c>
      <c r="C27">
        <v>20800746</v>
      </c>
      <c r="D27">
        <v>4805012</v>
      </c>
      <c r="E27">
        <v>463601</v>
      </c>
      <c r="F27">
        <v>20928423</v>
      </c>
      <c r="G27">
        <v>5554072</v>
      </c>
      <c r="I27">
        <v>-1437436</v>
      </c>
      <c r="J27">
        <v>9825695</v>
      </c>
      <c r="K27">
        <v>23468782</v>
      </c>
      <c r="L27">
        <v>9725695</v>
      </c>
      <c r="M27">
        <v>182774</v>
      </c>
      <c r="N27">
        <v>24906218</v>
      </c>
      <c r="O27">
        <v>9941860</v>
      </c>
    </row>
    <row r="28" spans="1:15" x14ac:dyDescent="0.25">
      <c r="A28">
        <v>190510</v>
      </c>
      <c r="B28">
        <v>701461</v>
      </c>
      <c r="C28">
        <v>15147681</v>
      </c>
      <c r="D28">
        <v>601461</v>
      </c>
      <c r="E28">
        <v>117172</v>
      </c>
      <c r="F28">
        <v>14957171</v>
      </c>
      <c r="G28">
        <v>1071900</v>
      </c>
      <c r="I28">
        <v>3215388</v>
      </c>
      <c r="J28">
        <v>10563993</v>
      </c>
      <c r="K28">
        <v>22907859</v>
      </c>
      <c r="L28">
        <v>10463993</v>
      </c>
      <c r="M28">
        <v>160618</v>
      </c>
      <c r="N28">
        <v>19692471</v>
      </c>
      <c r="O28">
        <v>11242611</v>
      </c>
    </row>
    <row r="29" spans="1:15" x14ac:dyDescent="0.25">
      <c r="A29">
        <v>5220520</v>
      </c>
      <c r="B29">
        <v>3143929</v>
      </c>
      <c r="C29">
        <v>21746643</v>
      </c>
      <c r="D29">
        <v>3043929</v>
      </c>
      <c r="E29">
        <v>278393</v>
      </c>
      <c r="F29">
        <v>16526123</v>
      </c>
      <c r="G29">
        <v>4047922</v>
      </c>
      <c r="I29">
        <v>8428979</v>
      </c>
      <c r="J29">
        <v>5310524</v>
      </c>
      <c r="K29">
        <v>18437602</v>
      </c>
      <c r="L29">
        <v>5210524</v>
      </c>
      <c r="M29">
        <v>184084</v>
      </c>
      <c r="N29">
        <v>10008623</v>
      </c>
      <c r="O29">
        <v>5946934</v>
      </c>
    </row>
    <row r="30" spans="1:15" x14ac:dyDescent="0.25">
      <c r="I30">
        <v>-2952448</v>
      </c>
      <c r="J30">
        <v>6526653</v>
      </c>
      <c r="K30">
        <v>17329098</v>
      </c>
      <c r="L30">
        <v>6426653</v>
      </c>
      <c r="M30">
        <v>295961</v>
      </c>
      <c r="N30">
        <v>20281546</v>
      </c>
      <c r="O30">
        <v>7420602</v>
      </c>
    </row>
    <row r="31" spans="1:15" x14ac:dyDescent="0.25">
      <c r="I31">
        <v>1543361</v>
      </c>
      <c r="J31">
        <v>6638859</v>
      </c>
      <c r="K31">
        <v>21352018</v>
      </c>
      <c r="L31">
        <v>6538859</v>
      </c>
      <c r="M31">
        <v>223577</v>
      </c>
      <c r="N31">
        <v>19808657</v>
      </c>
      <c r="O31">
        <v>7089111</v>
      </c>
    </row>
    <row r="32" spans="1:15" x14ac:dyDescent="0.25">
      <c r="I32">
        <v>-5243746</v>
      </c>
      <c r="J32">
        <v>9332375</v>
      </c>
      <c r="K32">
        <v>19695101</v>
      </c>
      <c r="L32">
        <v>9232375</v>
      </c>
      <c r="M32">
        <v>494116</v>
      </c>
      <c r="N32">
        <v>24938847</v>
      </c>
      <c r="O32">
        <v>9470754</v>
      </c>
    </row>
    <row r="33" spans="9:15" x14ac:dyDescent="0.25">
      <c r="I33">
        <v>-10634262</v>
      </c>
      <c r="J33">
        <v>6572345</v>
      </c>
      <c r="K33">
        <v>12962398</v>
      </c>
      <c r="L33">
        <v>6472345</v>
      </c>
      <c r="M33">
        <v>274535</v>
      </c>
      <c r="N33">
        <v>23596660</v>
      </c>
      <c r="O33">
        <v>7083771</v>
      </c>
    </row>
    <row r="34" spans="9:15" x14ac:dyDescent="0.25">
      <c r="I34">
        <v>-2703333</v>
      </c>
      <c r="J34">
        <v>5781080</v>
      </c>
      <c r="K34">
        <v>13847753</v>
      </c>
      <c r="L34">
        <v>5681080</v>
      </c>
      <c r="M34">
        <v>144752</v>
      </c>
      <c r="N34">
        <v>16551086</v>
      </c>
      <c r="O34">
        <v>5983331</v>
      </c>
    </row>
    <row r="35" spans="9:15" x14ac:dyDescent="0.25">
      <c r="I35">
        <v>2649626</v>
      </c>
      <c r="J35">
        <v>5619720</v>
      </c>
      <c r="K35">
        <v>16789369</v>
      </c>
      <c r="L35">
        <v>5519720</v>
      </c>
      <c r="M35">
        <v>158010</v>
      </c>
      <c r="N35">
        <v>14139743</v>
      </c>
      <c r="O35">
        <v>5972295</v>
      </c>
    </row>
    <row r="36" spans="9:15" x14ac:dyDescent="0.25">
      <c r="I36">
        <v>-7959666</v>
      </c>
      <c r="J36">
        <v>8159588</v>
      </c>
      <c r="K36">
        <v>12550453</v>
      </c>
      <c r="L36">
        <v>8059588</v>
      </c>
      <c r="M36">
        <v>448773</v>
      </c>
      <c r="N36">
        <v>20510119</v>
      </c>
      <c r="O36">
        <v>8465488</v>
      </c>
    </row>
    <row r="37" spans="9:15" x14ac:dyDescent="0.25">
      <c r="I37">
        <v>-3704886</v>
      </c>
      <c r="J37">
        <v>7581114</v>
      </c>
      <c r="K37">
        <v>20640504</v>
      </c>
      <c r="L37">
        <v>7481114</v>
      </c>
      <c r="M37">
        <v>223073</v>
      </c>
      <c r="N37">
        <v>24345390</v>
      </c>
      <c r="O37">
        <v>7889934</v>
      </c>
    </row>
    <row r="38" spans="9:15" x14ac:dyDescent="0.25">
      <c r="I38">
        <v>1331058</v>
      </c>
      <c r="J38">
        <v>5193889</v>
      </c>
      <c r="K38">
        <v>15605653</v>
      </c>
      <c r="L38">
        <v>5093889</v>
      </c>
      <c r="M38">
        <v>260482</v>
      </c>
      <c r="N38">
        <v>14274595</v>
      </c>
      <c r="O38">
        <v>5580003</v>
      </c>
    </row>
    <row r="39" spans="9:15" x14ac:dyDescent="0.25">
      <c r="I39">
        <v>575770</v>
      </c>
      <c r="J39">
        <v>5416779</v>
      </c>
      <c r="K39">
        <v>15557689</v>
      </c>
      <c r="L39">
        <v>5316779</v>
      </c>
      <c r="M39">
        <v>406955</v>
      </c>
      <c r="N39">
        <v>14981919</v>
      </c>
      <c r="O39">
        <v>5874074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E5FD8-B77E-428B-8698-F4C53294FA46}">
  <dimension ref="A1:H69"/>
  <sheetViews>
    <sheetView tabSelected="1" workbookViewId="0">
      <selection activeCell="K5" sqref="K5"/>
    </sheetView>
  </sheetViews>
  <sheetFormatPr baseColWidth="10" defaultRowHeight="15" x14ac:dyDescent="0.25"/>
  <sheetData>
    <row r="1" spans="1:8" ht="21" x14ac:dyDescent="0.35">
      <c r="A1" s="8" t="s">
        <v>18</v>
      </c>
      <c r="B1" s="8"/>
      <c r="C1" s="8"/>
    </row>
    <row r="2" spans="1:8" x14ac:dyDescent="0.25">
      <c r="A2" s="7" t="s">
        <v>0</v>
      </c>
      <c r="B2" s="7" t="s">
        <v>1</v>
      </c>
      <c r="C2" s="7" t="s">
        <v>2</v>
      </c>
      <c r="D2" s="7" t="s">
        <v>3</v>
      </c>
      <c r="E2" s="7" t="s">
        <v>4</v>
      </c>
      <c r="F2" s="7" t="s">
        <v>5</v>
      </c>
      <c r="G2" s="7" t="s">
        <v>6</v>
      </c>
      <c r="H2" s="7" t="s">
        <v>15</v>
      </c>
    </row>
    <row r="3" spans="1:8" x14ac:dyDescent="0.25">
      <c r="A3">
        <v>6485464.5686103702</v>
      </c>
      <c r="B3">
        <v>3460994.8454174115</v>
      </c>
      <c r="C3">
        <v>9613195.5286547877</v>
      </c>
      <c r="D3">
        <v>3696044.2301462335</v>
      </c>
      <c r="E3">
        <v>123104</v>
      </c>
      <c r="F3">
        <v>18289441.041831225</v>
      </c>
      <c r="G3">
        <v>3883612.6724652709</v>
      </c>
      <c r="H3">
        <f>Score_Altman(A3,B3,C3,D3,E3,F3,G3)</f>
        <v>2.9899992942810059</v>
      </c>
    </row>
    <row r="4" spans="1:8" x14ac:dyDescent="0.25">
      <c r="A4">
        <v>8243959.5775411362</v>
      </c>
      <c r="B4">
        <v>3393085.3025747933</v>
      </c>
      <c r="C4">
        <v>10056125.012605218</v>
      </c>
      <c r="D4">
        <v>3542019.9694504105</v>
      </c>
      <c r="E4">
        <v>113888</v>
      </c>
      <c r="F4">
        <v>12506958</v>
      </c>
      <c r="G4">
        <v>3684826.3459082423</v>
      </c>
      <c r="H4">
        <f t="shared" ref="H4:H29" si="0">Score_Altman(A4,B4,C4,D4,E4,F4,G4)</f>
        <v>2.9900007247924805</v>
      </c>
    </row>
    <row r="5" spans="1:8" x14ac:dyDescent="0.25">
      <c r="A5">
        <v>165022.90443214081</v>
      </c>
      <c r="B5">
        <v>3082513.881916136</v>
      </c>
      <c r="C5">
        <v>6565010.3994461969</v>
      </c>
      <c r="D5">
        <v>3395029.5720891119</v>
      </c>
      <c r="E5">
        <v>250032.05230166129</v>
      </c>
      <c r="F5">
        <v>23412854</v>
      </c>
      <c r="G5">
        <v>3874041.9409786952</v>
      </c>
      <c r="H5">
        <f t="shared" si="0"/>
        <v>2.989999532699585</v>
      </c>
    </row>
    <row r="6" spans="1:8" x14ac:dyDescent="0.25">
      <c r="A6">
        <v>11393831.586159734</v>
      </c>
      <c r="B6">
        <v>4284055.5389374997</v>
      </c>
      <c r="C6">
        <v>13267546.081978755</v>
      </c>
      <c r="D6">
        <v>4433782.8926542746</v>
      </c>
      <c r="E6">
        <v>340240</v>
      </c>
      <c r="F6">
        <v>10302655.523765994</v>
      </c>
      <c r="G6">
        <v>5110429.8189114807</v>
      </c>
      <c r="H6">
        <f t="shared" si="0"/>
        <v>2.9900007247924805</v>
      </c>
    </row>
    <row r="7" spans="1:8" x14ac:dyDescent="0.25">
      <c r="A7">
        <v>0</v>
      </c>
      <c r="B7">
        <v>3671893.8655677894</v>
      </c>
      <c r="C7">
        <v>7610263.6282566423</v>
      </c>
      <c r="D7">
        <v>3983343.7415800546</v>
      </c>
      <c r="E7">
        <v>223387</v>
      </c>
      <c r="F7">
        <v>16119789.693326591</v>
      </c>
      <c r="G7">
        <v>4410139.1421281323</v>
      </c>
      <c r="H7">
        <f t="shared" si="0"/>
        <v>2.9900004863739014</v>
      </c>
    </row>
    <row r="8" spans="1:8" x14ac:dyDescent="0.25">
      <c r="A8">
        <v>768726.11607739748</v>
      </c>
      <c r="B8">
        <v>2965631.6183307027</v>
      </c>
      <c r="C8">
        <v>6369863.5325154476</v>
      </c>
      <c r="D8">
        <v>3208247.4047257211</v>
      </c>
      <c r="E8">
        <v>407920</v>
      </c>
      <c r="F8">
        <v>18849554.995545052</v>
      </c>
      <c r="G8">
        <v>3304917.1494915211</v>
      </c>
      <c r="H8">
        <f t="shared" si="0"/>
        <v>2.9900002479553223</v>
      </c>
    </row>
    <row r="9" spans="1:8" x14ac:dyDescent="0.25">
      <c r="A9">
        <v>1282736.3036566293</v>
      </c>
      <c r="B9">
        <v>2367927.7242478551</v>
      </c>
      <c r="C9">
        <v>5403921.727579358</v>
      </c>
      <c r="D9">
        <v>2539496.8592093708</v>
      </c>
      <c r="E9">
        <v>308071</v>
      </c>
      <c r="F9">
        <v>17707019.706786349</v>
      </c>
      <c r="G9">
        <v>2869460.5938133309</v>
      </c>
      <c r="H9">
        <f t="shared" si="0"/>
        <v>2.9899997711181641</v>
      </c>
    </row>
    <row r="10" spans="1:8" x14ac:dyDescent="0.25">
      <c r="A10">
        <v>8084628.4423038634</v>
      </c>
      <c r="B10">
        <v>50529.986423059483</v>
      </c>
      <c r="C10">
        <v>3720483.63844389</v>
      </c>
      <c r="D10">
        <v>0</v>
      </c>
      <c r="E10">
        <v>271728.34557572432</v>
      </c>
      <c r="F10">
        <v>16755015.99926061</v>
      </c>
      <c r="G10">
        <v>1317065.7099784887</v>
      </c>
      <c r="H10">
        <f t="shared" si="0"/>
        <v>2.9900002479553223</v>
      </c>
    </row>
    <row r="11" spans="1:8" x14ac:dyDescent="0.25">
      <c r="A11">
        <v>2739845.9328598976</v>
      </c>
      <c r="B11">
        <v>2516780.7042303924</v>
      </c>
      <c r="C11">
        <v>6410755.9756229781</v>
      </c>
      <c r="D11">
        <v>2705484.6550574438</v>
      </c>
      <c r="E11">
        <v>228647.8125</v>
      </c>
      <c r="F11">
        <v>21645254</v>
      </c>
      <c r="G11">
        <v>3391514.3533664723</v>
      </c>
      <c r="H11">
        <f t="shared" si="0"/>
        <v>2.9900002479553223</v>
      </c>
    </row>
    <row r="12" spans="1:8" x14ac:dyDescent="0.25">
      <c r="A12">
        <v>10523773.401277756</v>
      </c>
      <c r="B12">
        <v>5005744.8955922918</v>
      </c>
      <c r="C12">
        <v>14376202.68530249</v>
      </c>
      <c r="D12">
        <v>5243502.465352199</v>
      </c>
      <c r="E12">
        <v>344243</v>
      </c>
      <c r="F12">
        <v>12480467.473954363</v>
      </c>
      <c r="G12">
        <v>5812594.0074239029</v>
      </c>
      <c r="H12">
        <f t="shared" si="0"/>
        <v>2.9899988174438477</v>
      </c>
    </row>
    <row r="13" spans="1:8" x14ac:dyDescent="0.25">
      <c r="A13">
        <v>6096481.313527423</v>
      </c>
      <c r="B13">
        <v>2613109.0209334972</v>
      </c>
      <c r="C13">
        <v>7678030.4860014496</v>
      </c>
      <c r="D13">
        <v>2745167.808979149</v>
      </c>
      <c r="E13">
        <v>148290</v>
      </c>
      <c r="F13">
        <v>16536272</v>
      </c>
      <c r="G13">
        <v>2885703.3769615586</v>
      </c>
      <c r="H13">
        <f t="shared" si="0"/>
        <v>2.9900002479553223</v>
      </c>
    </row>
    <row r="14" spans="1:8" x14ac:dyDescent="0.25">
      <c r="A14">
        <v>11686189.323836753</v>
      </c>
      <c r="B14">
        <v>2192848.693797153</v>
      </c>
      <c r="C14">
        <v>9252368.6327111162</v>
      </c>
      <c r="D14">
        <v>2248099.765330099</v>
      </c>
      <c r="E14">
        <v>199289</v>
      </c>
      <c r="F14">
        <v>13435196</v>
      </c>
      <c r="G14">
        <v>3073160.8433878506</v>
      </c>
      <c r="H14">
        <f t="shared" si="0"/>
        <v>2.989999532699585</v>
      </c>
    </row>
    <row r="15" spans="1:8" x14ac:dyDescent="0.25">
      <c r="A15">
        <v>6046054.5135781402</v>
      </c>
      <c r="B15">
        <v>5691791.1443677461</v>
      </c>
      <c r="C15">
        <v>14093115.368182976</v>
      </c>
      <c r="D15">
        <v>6132821.9897057312</v>
      </c>
      <c r="E15">
        <v>306697</v>
      </c>
      <c r="F15">
        <v>20102615</v>
      </c>
      <c r="G15">
        <v>6553857.4957564902</v>
      </c>
      <c r="H15">
        <f t="shared" si="0"/>
        <v>2.9899988174438477</v>
      </c>
    </row>
    <row r="16" spans="1:8" x14ac:dyDescent="0.25">
      <c r="A16">
        <v>0</v>
      </c>
      <c r="B16">
        <v>5452908.6693065763</v>
      </c>
      <c r="C16">
        <v>11223142.870078983</v>
      </c>
      <c r="D16">
        <v>5987731.2968877126</v>
      </c>
      <c r="E16">
        <v>371195.6000557412</v>
      </c>
      <c r="F16">
        <v>22806558</v>
      </c>
      <c r="G16">
        <v>6060068.4205593411</v>
      </c>
      <c r="H16">
        <f t="shared" si="0"/>
        <v>2.9899997711181641</v>
      </c>
    </row>
    <row r="17" spans="1:8" x14ac:dyDescent="0.25">
      <c r="A17">
        <v>1186867.6728673857</v>
      </c>
      <c r="B17">
        <v>4071797.3154822285</v>
      </c>
      <c r="C17">
        <v>9074278.1598733533</v>
      </c>
      <c r="D17">
        <v>4474586.666692554</v>
      </c>
      <c r="E17">
        <v>370975</v>
      </c>
      <c r="F17">
        <v>21282346</v>
      </c>
      <c r="G17">
        <v>5151440.6915669376</v>
      </c>
      <c r="H17">
        <f t="shared" si="0"/>
        <v>2.989999532699585</v>
      </c>
    </row>
    <row r="18" spans="1:8" x14ac:dyDescent="0.25">
      <c r="A18">
        <v>11379664.139016589</v>
      </c>
      <c r="B18">
        <v>799934.75271727727</v>
      </c>
      <c r="C18">
        <v>6403025.7204328422</v>
      </c>
      <c r="D18">
        <v>733713.94047751813</v>
      </c>
      <c r="E18">
        <v>492615.76840566105</v>
      </c>
      <c r="F18">
        <v>23742457.094637789</v>
      </c>
      <c r="G18">
        <v>1870439.5126328589</v>
      </c>
      <c r="H18">
        <f t="shared" si="0"/>
        <v>2.9899992942810059</v>
      </c>
    </row>
    <row r="19" spans="1:8" x14ac:dyDescent="0.25">
      <c r="A19">
        <v>5070521.1809904762</v>
      </c>
      <c r="B19">
        <v>3320468.2743533384</v>
      </c>
      <c r="C19">
        <v>8871879.8396679852</v>
      </c>
      <c r="D19">
        <v>3522696.5380457626</v>
      </c>
      <c r="E19">
        <v>469273.00023562484</v>
      </c>
      <c r="F19">
        <v>11464235</v>
      </c>
      <c r="G19">
        <v>3954792.3166073891</v>
      </c>
      <c r="H19">
        <f t="shared" si="0"/>
        <v>2.9899988174438477</v>
      </c>
    </row>
    <row r="20" spans="1:8" x14ac:dyDescent="0.25">
      <c r="A20">
        <v>2787968.4495358993</v>
      </c>
      <c r="B20">
        <v>6459303.422448067</v>
      </c>
      <c r="C20">
        <v>14315976.842630018</v>
      </c>
      <c r="D20">
        <v>7012014.6612430513</v>
      </c>
      <c r="E20">
        <v>189074</v>
      </c>
      <c r="F20">
        <v>21890648</v>
      </c>
      <c r="G20">
        <v>7209552.5869125398</v>
      </c>
      <c r="H20">
        <f t="shared" si="0"/>
        <v>2.9899997711181641</v>
      </c>
    </row>
    <row r="21" spans="1:8" x14ac:dyDescent="0.25">
      <c r="A21">
        <v>894868.34847567463</v>
      </c>
      <c r="B21">
        <v>2305399.3348878701</v>
      </c>
      <c r="C21">
        <v>4982274.0339144254</v>
      </c>
      <c r="D21">
        <v>2479918.6095308154</v>
      </c>
      <c r="E21">
        <v>231851</v>
      </c>
      <c r="F21">
        <v>24688909</v>
      </c>
      <c r="G21">
        <v>2386180.6128518088</v>
      </c>
      <c r="H21">
        <f t="shared" si="0"/>
        <v>2.9900000095367432</v>
      </c>
    </row>
    <row r="22" spans="1:8" x14ac:dyDescent="0.25">
      <c r="A22">
        <v>1291220.1101368081</v>
      </c>
      <c r="B22">
        <v>2950308.9910915229</v>
      </c>
      <c r="C22">
        <v>6750035.777855563</v>
      </c>
      <c r="D22">
        <v>3220919.1651014681</v>
      </c>
      <c r="E22">
        <v>225513</v>
      </c>
      <c r="F22">
        <v>22694500</v>
      </c>
      <c r="G22">
        <v>3837270.659210681</v>
      </c>
      <c r="H22">
        <f t="shared" si="0"/>
        <v>2.9900000095367432</v>
      </c>
    </row>
    <row r="23" spans="1:8" x14ac:dyDescent="0.25">
      <c r="A23">
        <v>9512484.1889253668</v>
      </c>
      <c r="B23">
        <v>4264026.2821676629</v>
      </c>
      <c r="C23">
        <v>12532882.764302123</v>
      </c>
      <c r="D23">
        <v>4442300.413173046</v>
      </c>
      <c r="E23">
        <v>216505</v>
      </c>
      <c r="F23">
        <v>12145031.679121206</v>
      </c>
      <c r="G23">
        <v>5300374.9743137211</v>
      </c>
      <c r="H23">
        <f t="shared" si="0"/>
        <v>2.9900012016296387</v>
      </c>
    </row>
    <row r="24" spans="1:8" x14ac:dyDescent="0.25">
      <c r="A24">
        <v>3558046.5246617063</v>
      </c>
      <c r="B24">
        <v>1643473.4641572428</v>
      </c>
      <c r="C24">
        <v>4804047.0086365417</v>
      </c>
      <c r="D24">
        <v>1725148.5258999406</v>
      </c>
      <c r="E24">
        <v>103916</v>
      </c>
      <c r="F24">
        <v>23587169</v>
      </c>
      <c r="G24">
        <v>2089983.2877890025</v>
      </c>
      <c r="H24">
        <f t="shared" si="0"/>
        <v>2.9900000095367432</v>
      </c>
    </row>
    <row r="25" spans="1:8" x14ac:dyDescent="0.25">
      <c r="A25">
        <v>-225852</v>
      </c>
      <c r="B25">
        <v>1566182</v>
      </c>
      <c r="C25">
        <v>19721372</v>
      </c>
      <c r="D25">
        <v>1466182</v>
      </c>
      <c r="E25">
        <v>478732</v>
      </c>
      <c r="F25">
        <v>19947224</v>
      </c>
      <c r="G25">
        <v>2268761</v>
      </c>
      <c r="H25">
        <f>Score_Altman(A25,B25,C25,D25,E25,F25,G25)</f>
        <v>0.47210267186164856</v>
      </c>
    </row>
    <row r="26" spans="1:8" x14ac:dyDescent="0.25">
      <c r="A26">
        <v>0</v>
      </c>
      <c r="B26">
        <v>2802107.4006454661</v>
      </c>
      <c r="C26">
        <v>5950455.6595092732</v>
      </c>
      <c r="D26">
        <v>3022114.2115942482</v>
      </c>
      <c r="E26">
        <v>302741</v>
      </c>
      <c r="F26">
        <v>15107290.901220951</v>
      </c>
      <c r="G26">
        <v>3828216.6517035612</v>
      </c>
      <c r="H26">
        <f t="shared" si="0"/>
        <v>2.9900000095367432</v>
      </c>
    </row>
    <row r="27" spans="1:8" x14ac:dyDescent="0.25">
      <c r="A27">
        <v>0</v>
      </c>
      <c r="B27">
        <v>5359125.0269511249</v>
      </c>
      <c r="C27">
        <v>11027673.604865005</v>
      </c>
      <c r="D27">
        <v>5867008.0744130872</v>
      </c>
      <c r="E27">
        <v>463601</v>
      </c>
      <c r="F27">
        <v>20579615.949999999</v>
      </c>
      <c r="G27">
        <v>5965766.5279073678</v>
      </c>
      <c r="H27">
        <f t="shared" si="0"/>
        <v>2.9900009632110596</v>
      </c>
    </row>
    <row r="28" spans="1:8" x14ac:dyDescent="0.25">
      <c r="A28">
        <v>6011873.2990268264</v>
      </c>
      <c r="B28">
        <v>376200.1082165878</v>
      </c>
      <c r="C28">
        <v>5929250.6030708561</v>
      </c>
      <c r="D28">
        <v>1829847.3219202827</v>
      </c>
      <c r="E28">
        <v>103916</v>
      </c>
      <c r="F28">
        <v>28604452.751710404</v>
      </c>
      <c r="G28">
        <v>3940050.7241604482</v>
      </c>
      <c r="H28">
        <f>Score_Altman(A28,B28,C28,D28,E28,F28,G28)</f>
        <v>2.9900000095367432</v>
      </c>
    </row>
    <row r="29" spans="1:8" x14ac:dyDescent="0.25">
      <c r="A29">
        <v>5900593.8207909316</v>
      </c>
      <c r="B29">
        <v>3465950.7568778675</v>
      </c>
      <c r="C29">
        <v>9547031.6205512825</v>
      </c>
      <c r="D29">
        <v>3680995.0178406173</v>
      </c>
      <c r="E29">
        <v>278393</v>
      </c>
      <c r="F29">
        <v>16526123</v>
      </c>
      <c r="G29">
        <v>4373170.4370672237</v>
      </c>
      <c r="H29">
        <f t="shared" si="0"/>
        <v>2.989999532699585</v>
      </c>
    </row>
    <row r="31" spans="1:8" ht="21" x14ac:dyDescent="0.35">
      <c r="A31" s="8" t="s">
        <v>19</v>
      </c>
      <c r="B31" s="8"/>
      <c r="C31" s="8"/>
    </row>
    <row r="32" spans="1:8" x14ac:dyDescent="0.25">
      <c r="A32" s="7" t="s">
        <v>0</v>
      </c>
      <c r="B32" s="7" t="s">
        <v>1</v>
      </c>
      <c r="C32" s="7" t="s">
        <v>2</v>
      </c>
      <c r="D32" s="7" t="s">
        <v>3</v>
      </c>
      <c r="E32" s="7" t="s">
        <v>4</v>
      </c>
      <c r="F32" s="7" t="s">
        <v>5</v>
      </c>
      <c r="G32" s="7" t="s">
        <v>6</v>
      </c>
      <c r="H32" s="7" t="s">
        <v>15</v>
      </c>
    </row>
    <row r="33" spans="1:8" x14ac:dyDescent="0.25">
      <c r="A33">
        <v>25099</v>
      </c>
      <c r="B33">
        <v>5059927.1314871274</v>
      </c>
      <c r="C33">
        <v>10085700.052558528</v>
      </c>
      <c r="D33">
        <v>5344447.1076370981</v>
      </c>
      <c r="E33">
        <v>304782</v>
      </c>
      <c r="F33">
        <v>13541456</v>
      </c>
      <c r="G33">
        <v>5274614.4611675702</v>
      </c>
      <c r="H33">
        <f>Score_Altman(A33,B33,C33,D33,E33,F33,G33)</f>
        <v>2.9899990558624268</v>
      </c>
    </row>
    <row r="34" spans="1:8" x14ac:dyDescent="0.25">
      <c r="A34">
        <v>14679995.207828077</v>
      </c>
      <c r="B34">
        <v>7655725.0442713611</v>
      </c>
      <c r="C34">
        <v>21078916.041736715</v>
      </c>
      <c r="D34">
        <v>7794309.8706253897</v>
      </c>
      <c r="E34">
        <v>461509.22061879409</v>
      </c>
      <c r="F34">
        <v>10134451</v>
      </c>
      <c r="G34">
        <v>8403149.5644173604</v>
      </c>
      <c r="H34">
        <f t="shared" ref="H34:H69" si="1">Score_Altman(A34,B34,C34,D34,E34,F34,G34)</f>
        <v>2.9899983406066895</v>
      </c>
    </row>
    <row r="35" spans="1:8" x14ac:dyDescent="0.25">
      <c r="A35">
        <v>1559563</v>
      </c>
      <c r="B35">
        <v>8439583.8646394741</v>
      </c>
      <c r="C35">
        <v>17057866.334090766</v>
      </c>
      <c r="D35">
        <v>8595917.7653010692</v>
      </c>
      <c r="E35">
        <v>410821</v>
      </c>
      <c r="F35">
        <v>17641511</v>
      </c>
      <c r="G35">
        <v>8720002.2425995581</v>
      </c>
      <c r="H35">
        <f t="shared" si="1"/>
        <v>2.9900014400482178</v>
      </c>
    </row>
    <row r="36" spans="1:8" x14ac:dyDescent="0.25">
      <c r="A36">
        <v>0</v>
      </c>
      <c r="B36">
        <v>6420657.3941614609</v>
      </c>
      <c r="C36">
        <v>12569969.16736054</v>
      </c>
      <c r="D36">
        <v>6487826.107755064</v>
      </c>
      <c r="E36">
        <v>223844</v>
      </c>
      <c r="F36">
        <v>21454835</v>
      </c>
      <c r="G36">
        <v>7113902.0408686232</v>
      </c>
      <c r="H36">
        <f t="shared" si="1"/>
        <v>2.9900012016296387</v>
      </c>
    </row>
    <row r="37" spans="1:8" x14ac:dyDescent="0.25">
      <c r="A37">
        <v>11970951.016710114</v>
      </c>
      <c r="B37">
        <v>9250287.9377092365</v>
      </c>
      <c r="C37">
        <v>22610643.422167473</v>
      </c>
      <c r="D37">
        <v>9277097.8071954958</v>
      </c>
      <c r="E37">
        <v>189359</v>
      </c>
      <c r="F37">
        <v>12389447</v>
      </c>
      <c r="G37">
        <v>9477965.8467605188</v>
      </c>
      <c r="H37">
        <f t="shared" si="1"/>
        <v>2.9899990558624268</v>
      </c>
    </row>
    <row r="38" spans="1:8" x14ac:dyDescent="0.25">
      <c r="A38">
        <v>5185880.4611585718</v>
      </c>
      <c r="B38">
        <v>8799796.529382905</v>
      </c>
      <c r="C38">
        <v>19062431.177271467</v>
      </c>
      <c r="D38">
        <v>8716463.0727204848</v>
      </c>
      <c r="E38">
        <v>123284</v>
      </c>
      <c r="F38">
        <v>14012020</v>
      </c>
      <c r="G38">
        <v>9598527.7882669494</v>
      </c>
      <c r="H38">
        <f t="shared" si="1"/>
        <v>2.989999532699585</v>
      </c>
    </row>
    <row r="39" spans="1:8" x14ac:dyDescent="0.25">
      <c r="A39">
        <v>2067536.1239868114</v>
      </c>
      <c r="B39">
        <v>6727669.5086490642</v>
      </c>
      <c r="C39">
        <v>14492894.987158164</v>
      </c>
      <c r="D39">
        <v>7168350.2047144137</v>
      </c>
      <c r="E39">
        <v>326177</v>
      </c>
      <c r="F39">
        <v>18716826</v>
      </c>
      <c r="G39">
        <v>7634496.7310986435</v>
      </c>
      <c r="H39">
        <f t="shared" si="1"/>
        <v>2.9899988174438477</v>
      </c>
    </row>
    <row r="40" spans="1:8" x14ac:dyDescent="0.25">
      <c r="A40">
        <v>10628811.062976392</v>
      </c>
      <c r="B40">
        <v>7438730.3818406491</v>
      </c>
      <c r="C40">
        <v>18854566.693521071</v>
      </c>
      <c r="D40">
        <v>7588904.4559466867</v>
      </c>
      <c r="E40">
        <v>181379</v>
      </c>
      <c r="F40">
        <v>12083790</v>
      </c>
      <c r="G40">
        <v>8001160.8712024614</v>
      </c>
      <c r="H40">
        <f t="shared" si="1"/>
        <v>2.9899997711181641</v>
      </c>
    </row>
    <row r="41" spans="1:8" x14ac:dyDescent="0.25">
      <c r="A41">
        <v>0</v>
      </c>
      <c r="B41">
        <v>6154482.7988414429</v>
      </c>
      <c r="C41">
        <v>11573402.915793339</v>
      </c>
      <c r="D41">
        <v>5850185.40325421</v>
      </c>
      <c r="E41">
        <v>479987.35677908454</v>
      </c>
      <c r="F41">
        <v>15774767</v>
      </c>
      <c r="G41">
        <v>6477764.4713529572</v>
      </c>
      <c r="H41">
        <f t="shared" si="1"/>
        <v>2.9899990558624268</v>
      </c>
    </row>
    <row r="42" spans="1:8" x14ac:dyDescent="0.25">
      <c r="A42">
        <v>8485577.586885741</v>
      </c>
      <c r="B42">
        <v>7725311.0168937761</v>
      </c>
      <c r="C42">
        <v>18384128.752309624</v>
      </c>
      <c r="D42">
        <v>7681348.1706287013</v>
      </c>
      <c r="E42">
        <v>138883</v>
      </c>
      <c r="F42">
        <v>10507462</v>
      </c>
      <c r="G42">
        <v>8484667.0704967529</v>
      </c>
      <c r="H42">
        <f t="shared" si="1"/>
        <v>2.9900007247924805</v>
      </c>
    </row>
    <row r="43" spans="1:8" x14ac:dyDescent="0.25">
      <c r="A43">
        <v>0</v>
      </c>
      <c r="B43">
        <v>7691868.5426765047</v>
      </c>
      <c r="C43">
        <v>14739621.486859608</v>
      </c>
      <c r="D43">
        <v>7550798.7539397944</v>
      </c>
      <c r="E43">
        <v>363396</v>
      </c>
      <c r="F43">
        <v>24933779</v>
      </c>
      <c r="G43">
        <v>8264554.4818464443</v>
      </c>
      <c r="H43">
        <f t="shared" si="1"/>
        <v>2.9899978637695313</v>
      </c>
    </row>
    <row r="44" spans="1:8" x14ac:dyDescent="0.25">
      <c r="A44">
        <v>9523757.1314768214</v>
      </c>
      <c r="B44">
        <v>6752443.3001186196</v>
      </c>
      <c r="C44">
        <v>17398616.732664727</v>
      </c>
      <c r="D44">
        <v>7047640.4420284638</v>
      </c>
      <c r="E44">
        <v>201039</v>
      </c>
      <c r="F44">
        <v>13661272</v>
      </c>
      <c r="G44">
        <v>7736822.2565673487</v>
      </c>
      <c r="H44">
        <f t="shared" si="1"/>
        <v>2.9899992942810059</v>
      </c>
    </row>
    <row r="45" spans="1:8" x14ac:dyDescent="0.25">
      <c r="A45">
        <v>0</v>
      </c>
      <c r="B45">
        <v>10953129.532491006</v>
      </c>
      <c r="C45">
        <v>21128779.149231542</v>
      </c>
      <c r="D45">
        <v>11008267.989902096</v>
      </c>
      <c r="E45">
        <v>200485</v>
      </c>
      <c r="F45">
        <v>22988005</v>
      </c>
      <c r="G45">
        <v>11414254.014736645</v>
      </c>
      <c r="H45">
        <f t="shared" si="1"/>
        <v>2.9900007247924805</v>
      </c>
    </row>
    <row r="46" spans="1:8" x14ac:dyDescent="0.25">
      <c r="A46">
        <v>0</v>
      </c>
      <c r="B46">
        <v>7146013.6397425374</v>
      </c>
      <c r="C46">
        <v>14033889.249260206</v>
      </c>
      <c r="D46">
        <v>7299710.0639036223</v>
      </c>
      <c r="E46">
        <v>207048</v>
      </c>
      <c r="F46">
        <v>16273721</v>
      </c>
      <c r="G46">
        <v>7768470.1553664943</v>
      </c>
      <c r="H46">
        <f t="shared" si="1"/>
        <v>2.9899976253509521</v>
      </c>
    </row>
    <row r="47" spans="1:8" x14ac:dyDescent="0.25">
      <c r="A47">
        <v>0</v>
      </c>
      <c r="B47">
        <v>8829621.8622402567</v>
      </c>
      <c r="C47">
        <v>16661933.310846558</v>
      </c>
      <c r="D47">
        <v>8550221.762116164</v>
      </c>
      <c r="E47">
        <v>203124</v>
      </c>
      <c r="F47">
        <v>19772906</v>
      </c>
      <c r="G47">
        <v>9148385.6737736128</v>
      </c>
      <c r="H47">
        <f t="shared" si="1"/>
        <v>2.9899976253509521</v>
      </c>
    </row>
    <row r="48" spans="1:8" x14ac:dyDescent="0.25">
      <c r="A48">
        <v>792206</v>
      </c>
      <c r="B48">
        <v>10712937.859518146</v>
      </c>
      <c r="C48">
        <v>20960294.320345856</v>
      </c>
      <c r="D48">
        <v>10783930.469140619</v>
      </c>
      <c r="E48">
        <v>208170</v>
      </c>
      <c r="F48">
        <v>21367756</v>
      </c>
      <c r="G48">
        <v>11024088.596656339</v>
      </c>
      <c r="H48">
        <f t="shared" si="1"/>
        <v>2.9900016784667969</v>
      </c>
    </row>
    <row r="49" spans="1:8" x14ac:dyDescent="0.25">
      <c r="A49">
        <v>4215048.1639543613</v>
      </c>
      <c r="B49">
        <v>9012173.8407102749</v>
      </c>
      <c r="C49">
        <v>18944691.780139875</v>
      </c>
      <c r="D49">
        <v>8934225.3293332271</v>
      </c>
      <c r="E49">
        <v>255600</v>
      </c>
      <c r="F49">
        <v>14911999</v>
      </c>
      <c r="G49">
        <v>9301029.4416304361</v>
      </c>
      <c r="H49">
        <f t="shared" si="1"/>
        <v>2.9899988174438477</v>
      </c>
    </row>
    <row r="50" spans="1:8" x14ac:dyDescent="0.25">
      <c r="A50">
        <v>5017246.7742798263</v>
      </c>
      <c r="B50">
        <v>7220730.3422929086</v>
      </c>
      <c r="C50">
        <v>16494308.178855192</v>
      </c>
      <c r="D50">
        <v>7656794.829599129</v>
      </c>
      <c r="E50">
        <v>268508.75625000003</v>
      </c>
      <c r="F50">
        <v>18334219</v>
      </c>
      <c r="G50">
        <v>7783670.91464468</v>
      </c>
      <c r="H50">
        <f t="shared" si="1"/>
        <v>2.9899992942810059</v>
      </c>
    </row>
    <row r="51" spans="1:8" x14ac:dyDescent="0.25">
      <c r="A51">
        <v>1553100.449466049</v>
      </c>
      <c r="B51">
        <v>5524575.8746649045</v>
      </c>
      <c r="C51">
        <v>11827452.670740044</v>
      </c>
      <c r="D51">
        <v>5867573.4834602056</v>
      </c>
      <c r="E51">
        <v>452122.73123997118</v>
      </c>
      <c r="F51">
        <v>16056537.674971905</v>
      </c>
      <c r="G51">
        <v>6209347.0347867562</v>
      </c>
      <c r="H51">
        <f t="shared" si="1"/>
        <v>2.9899997711181641</v>
      </c>
    </row>
    <row r="52" spans="1:8" x14ac:dyDescent="0.25">
      <c r="A52">
        <v>0</v>
      </c>
      <c r="B52">
        <v>6929128.0466527278</v>
      </c>
      <c r="C52">
        <v>13478149.859551294</v>
      </c>
      <c r="D52">
        <v>7102687.493445714</v>
      </c>
      <c r="E52">
        <v>228340</v>
      </c>
      <c r="F52">
        <v>17353087</v>
      </c>
      <c r="G52">
        <v>7060696.6605687859</v>
      </c>
      <c r="H52">
        <f t="shared" si="1"/>
        <v>2.990001916885376</v>
      </c>
    </row>
    <row r="53" spans="1:8" x14ac:dyDescent="0.25">
      <c r="A53">
        <v>2114540.3583791442</v>
      </c>
      <c r="B53">
        <v>8768607.2317805197</v>
      </c>
      <c r="C53">
        <v>18081133.024405126</v>
      </c>
      <c r="D53">
        <v>8980812.2510654572</v>
      </c>
      <c r="E53">
        <v>309383</v>
      </c>
      <c r="F53">
        <v>18713723</v>
      </c>
      <c r="G53">
        <v>9442479.0619093124</v>
      </c>
      <c r="H53">
        <f t="shared" si="1"/>
        <v>2.9899988174438477</v>
      </c>
    </row>
    <row r="54" spans="1:8" x14ac:dyDescent="0.25">
      <c r="A54">
        <v>9184547.7029590663</v>
      </c>
      <c r="B54">
        <v>6257497.2710804204</v>
      </c>
      <c r="C54">
        <v>16260511.028768227</v>
      </c>
      <c r="D54">
        <v>6488427.382818942</v>
      </c>
      <c r="E54">
        <v>484234.63535857858</v>
      </c>
      <c r="F54">
        <v>13107909</v>
      </c>
      <c r="G54">
        <v>7071809.1987193292</v>
      </c>
      <c r="H54">
        <f t="shared" si="1"/>
        <v>2.989999532699585</v>
      </c>
    </row>
    <row r="55" spans="1:8" x14ac:dyDescent="0.25">
      <c r="A55">
        <v>12692313.771162493</v>
      </c>
      <c r="B55">
        <v>6199936.7672209246</v>
      </c>
      <c r="C55">
        <v>17258913.230951551</v>
      </c>
      <c r="D55">
        <v>6356912.0556193991</v>
      </c>
      <c r="E55">
        <v>445298</v>
      </c>
      <c r="F55">
        <v>11542587.016684178</v>
      </c>
      <c r="G55">
        <v>6322502.0075354148</v>
      </c>
      <c r="H55">
        <f t="shared" si="1"/>
        <v>2.9900012016296387</v>
      </c>
    </row>
    <row r="56" spans="1:8" x14ac:dyDescent="0.25">
      <c r="A56">
        <v>5177348.5360522177</v>
      </c>
      <c r="B56">
        <v>6863703.6400075983</v>
      </c>
      <c r="C56">
        <v>15771533.097906744</v>
      </c>
      <c r="D56">
        <v>7259152.894394408</v>
      </c>
      <c r="E56">
        <v>323819</v>
      </c>
      <c r="F56">
        <v>18537728</v>
      </c>
      <c r="G56">
        <v>7221590.9256890723</v>
      </c>
      <c r="H56">
        <f t="shared" si="1"/>
        <v>2.989999532699585</v>
      </c>
    </row>
    <row r="57" spans="1:8" x14ac:dyDescent="0.25">
      <c r="A57">
        <v>0</v>
      </c>
      <c r="B57">
        <v>10197344.13418014</v>
      </c>
      <c r="C57">
        <v>19838827.350411735</v>
      </c>
      <c r="D57">
        <v>10526899.263705486</v>
      </c>
      <c r="E57">
        <v>182774</v>
      </c>
      <c r="F57">
        <v>24906218</v>
      </c>
      <c r="G57">
        <v>10225905.249460051</v>
      </c>
      <c r="H57">
        <f t="shared" si="1"/>
        <v>2.9899992942810059</v>
      </c>
    </row>
    <row r="58" spans="1:8" x14ac:dyDescent="0.25">
      <c r="A58">
        <v>3227581.4805965601</v>
      </c>
      <c r="B58">
        <v>10684176.172607189</v>
      </c>
      <c r="C58">
        <v>21952269.200317316</v>
      </c>
      <c r="D58">
        <v>10721924.919566486</v>
      </c>
      <c r="E58">
        <v>160618</v>
      </c>
      <c r="F58">
        <v>19692471</v>
      </c>
      <c r="G58">
        <v>11327880.061825927</v>
      </c>
      <c r="H58">
        <f t="shared" si="1"/>
        <v>2.989999532699585</v>
      </c>
    </row>
    <row r="59" spans="1:8" x14ac:dyDescent="0.25">
      <c r="A59">
        <v>8913066.7245087307</v>
      </c>
      <c r="B59">
        <v>5553224.3750015432</v>
      </c>
      <c r="C59">
        <v>14565769.101051014</v>
      </c>
      <c r="D59">
        <v>5689711.5939808087</v>
      </c>
      <c r="E59">
        <v>184084</v>
      </c>
      <c r="F59">
        <v>10008623</v>
      </c>
      <c r="G59">
        <v>6150803.7306645839</v>
      </c>
      <c r="H59">
        <f t="shared" si="1"/>
        <v>2.9899990558624268</v>
      </c>
    </row>
    <row r="60" spans="1:8" x14ac:dyDescent="0.25">
      <c r="A60">
        <v>0</v>
      </c>
      <c r="B60">
        <v>6827601.9512306098</v>
      </c>
      <c r="C60">
        <v>13710224.574366916</v>
      </c>
      <c r="D60">
        <v>7164923.8283421574</v>
      </c>
      <c r="E60">
        <v>295961</v>
      </c>
      <c r="F60">
        <v>20281546</v>
      </c>
      <c r="G60">
        <v>7678315.9547208175</v>
      </c>
      <c r="H60">
        <f t="shared" si="1"/>
        <v>2.9899997711181641</v>
      </c>
    </row>
    <row r="61" spans="1:8" x14ac:dyDescent="0.25">
      <c r="A61">
        <v>1559909.3159942038</v>
      </c>
      <c r="B61">
        <v>7077756.3458605623</v>
      </c>
      <c r="C61">
        <v>14743764.977927467</v>
      </c>
      <c r="D61">
        <v>7506880.7522796579</v>
      </c>
      <c r="E61">
        <v>223577</v>
      </c>
      <c r="F61">
        <v>19680859.214831609</v>
      </c>
      <c r="G61">
        <v>7437354.543906264</v>
      </c>
      <c r="H61">
        <f t="shared" si="1"/>
        <v>2.9900007247924805</v>
      </c>
    </row>
    <row r="62" spans="1:8" x14ac:dyDescent="0.25">
      <c r="A62">
        <v>0</v>
      </c>
      <c r="B62">
        <v>9502664.9287796542</v>
      </c>
      <c r="C62">
        <v>18317474.17278292</v>
      </c>
      <c r="D62">
        <v>9597382.9640763402</v>
      </c>
      <c r="E62">
        <v>494116</v>
      </c>
      <c r="F62">
        <v>24938847</v>
      </c>
      <c r="G62">
        <v>9585963.9827575274</v>
      </c>
      <c r="H62">
        <f t="shared" si="1"/>
        <v>2.9899990558624268</v>
      </c>
    </row>
    <row r="63" spans="1:8" x14ac:dyDescent="0.25">
      <c r="A63">
        <v>60398.843401930913</v>
      </c>
      <c r="B63">
        <v>6600341.4463211764</v>
      </c>
      <c r="C63">
        <v>12732329.7688256</v>
      </c>
      <c r="D63">
        <v>6536676.1010974525</v>
      </c>
      <c r="E63">
        <v>274535</v>
      </c>
      <c r="F63">
        <v>23596660</v>
      </c>
      <c r="G63">
        <v>7103887.6557361549</v>
      </c>
      <c r="H63">
        <f t="shared" si="1"/>
        <v>2.9899988174438477</v>
      </c>
    </row>
    <row r="64" spans="1:8" x14ac:dyDescent="0.25">
      <c r="A64">
        <v>0</v>
      </c>
      <c r="B64">
        <v>6001582.430999985</v>
      </c>
      <c r="C64">
        <v>11735024.443822024</v>
      </c>
      <c r="D64">
        <v>6201131.6974577</v>
      </c>
      <c r="E64">
        <v>145856.22851916691</v>
      </c>
      <c r="F64">
        <v>16551086</v>
      </c>
      <c r="G64">
        <v>6165904.3593958085</v>
      </c>
      <c r="H64">
        <f t="shared" si="1"/>
        <v>2.9900012016296387</v>
      </c>
    </row>
    <row r="65" spans="1:8" x14ac:dyDescent="0.25">
      <c r="A65">
        <v>2718182.4459379897</v>
      </c>
      <c r="B65">
        <v>5916738.7372542778</v>
      </c>
      <c r="C65">
        <v>12856210.359603502</v>
      </c>
      <c r="D65">
        <v>6243296.8641983848</v>
      </c>
      <c r="E65">
        <v>159868.94117647057</v>
      </c>
      <c r="F65">
        <v>14139743</v>
      </c>
      <c r="G65">
        <v>6210925.2497710148</v>
      </c>
      <c r="H65">
        <f t="shared" si="1"/>
        <v>2.989999532699585</v>
      </c>
    </row>
    <row r="66" spans="1:8" x14ac:dyDescent="0.25">
      <c r="A66">
        <v>0</v>
      </c>
      <c r="B66">
        <v>7825105.9082674235</v>
      </c>
      <c r="C66">
        <v>14544042.555444792</v>
      </c>
      <c r="D66">
        <v>7316226.6187108597</v>
      </c>
      <c r="E66">
        <v>448773</v>
      </c>
      <c r="F66">
        <v>20510119</v>
      </c>
      <c r="G66">
        <v>8205221.713796786</v>
      </c>
      <c r="H66">
        <f t="shared" si="1"/>
        <v>2.989997386932373</v>
      </c>
    </row>
    <row r="67" spans="1:8" x14ac:dyDescent="0.25">
      <c r="A67">
        <v>0</v>
      </c>
      <c r="B67">
        <v>7971424.0257442677</v>
      </c>
      <c r="C67">
        <v>15797211.19033963</v>
      </c>
      <c r="D67">
        <v>8422858.5234163851</v>
      </c>
      <c r="E67">
        <v>223340.55835720393</v>
      </c>
      <c r="F67">
        <v>24345390</v>
      </c>
      <c r="G67">
        <v>8199472.8565295143</v>
      </c>
      <c r="H67">
        <f t="shared" si="1"/>
        <v>2.989999532699585</v>
      </c>
    </row>
    <row r="68" spans="1:8" x14ac:dyDescent="0.25">
      <c r="A68">
        <v>1349808.1681865356</v>
      </c>
      <c r="B68">
        <v>5497567.6432119943</v>
      </c>
      <c r="C68">
        <v>11472054.556685964</v>
      </c>
      <c r="D68">
        <v>5768832.1651382176</v>
      </c>
      <c r="E68">
        <v>260482</v>
      </c>
      <c r="F68">
        <v>14274595</v>
      </c>
      <c r="G68">
        <v>5828171.2882046709</v>
      </c>
      <c r="H68">
        <f t="shared" si="1"/>
        <v>2.9900012016296387</v>
      </c>
    </row>
    <row r="69" spans="1:8" x14ac:dyDescent="0.25">
      <c r="A69">
        <v>583493.05946745712</v>
      </c>
      <c r="B69">
        <v>5724347.5192160858</v>
      </c>
      <c r="C69">
        <v>11700775.321843727</v>
      </c>
      <c r="D69">
        <v>6050542.3052512715</v>
      </c>
      <c r="E69">
        <v>406955</v>
      </c>
      <c r="F69">
        <v>14981919</v>
      </c>
      <c r="G69">
        <v>6119685.6907415604</v>
      </c>
      <c r="H69">
        <f t="shared" si="1"/>
        <v>2.9900012016296387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DD911-6CAD-44FE-AD76-50A5F339A54B}">
  <sheetPr codeName="Feuil2"/>
  <dimension ref="A1:E21"/>
  <sheetViews>
    <sheetView workbookViewId="0">
      <selection activeCell="I21" sqref="I21"/>
    </sheetView>
  </sheetViews>
  <sheetFormatPr baseColWidth="10" defaultRowHeight="15" x14ac:dyDescent="0.25"/>
  <sheetData>
    <row r="1" spans="1:5" ht="18.75" x14ac:dyDescent="0.3">
      <c r="A1" s="2" t="s">
        <v>7</v>
      </c>
      <c r="B1" s="2" t="s">
        <v>11</v>
      </c>
      <c r="C1" s="2" t="s">
        <v>10</v>
      </c>
      <c r="D1" s="2" t="s">
        <v>9</v>
      </c>
      <c r="E1" s="2" t="s">
        <v>8</v>
      </c>
    </row>
    <row r="2" spans="1:5" x14ac:dyDescent="0.25">
      <c r="A2">
        <f>Score_Altman(A!A2,A!B2,A!C2,A!D2,A!E2,A!F2,A!G2)</f>
        <v>3.7256641387939453</v>
      </c>
      <c r="B2">
        <f>Score_Altman(B!A2,B!B2,B!C2,B!D2,B!E2,B!F2,B!G2)</f>
        <v>2.4137012958526611</v>
      </c>
      <c r="C2">
        <f>Score_Altman('C'!A2,'C'!B2,'C'!C2,'C'!D2,'C'!E2,'C'!F2,'C'!G2)</f>
        <v>2.9483926296234131</v>
      </c>
      <c r="D2">
        <f>Score_Altman(D!A2,D!B2,D!C2,D!D2,D!E2,D!F2,D!G2)</f>
        <v>4.1739168167114258</v>
      </c>
      <c r="E2">
        <f>Score_Altman(E!A2,E!B2,E!C2,E!D2,E!E2,E!F2,E!G2)</f>
        <v>1.9832099676132202</v>
      </c>
    </row>
    <row r="3" spans="1:5" x14ac:dyDescent="0.25">
      <c r="A3">
        <f>Score_Altman(A!A3,A!B3,A!C3,A!D3,A!E3,A!F3,A!G3)</f>
        <v>2.022815465927124</v>
      </c>
      <c r="B3">
        <f>Score_Altman(B!A3,B!B3,B!C3,B!D3,B!E3,B!F3,B!G3)</f>
        <v>2.8205032348632813</v>
      </c>
      <c r="C3">
        <f>Score_Altman('C'!A3,'C'!B3,'C'!C3,'C'!D3,'C'!E3,'C'!F3,'C'!G3)</f>
        <v>2.7667081356048584</v>
      </c>
      <c r="D3">
        <f>Score_Altman(D!A3,D!B3,D!C3,D!D3,D!E3,D!F3,D!G3)</f>
        <v>2.0759503841400146</v>
      </c>
      <c r="E3">
        <f>Score_Altman(E!A3,E!B3,E!C3,E!D3,E!E3,E!F3,E!G3)</f>
        <v>1.8710780143737793</v>
      </c>
    </row>
    <row r="4" spans="1:5" x14ac:dyDescent="0.25">
      <c r="A4">
        <f>Score_Altman(A!A4,A!B4,A!C4,A!D4,A!E4,A!F4,A!G4)</f>
        <v>1.0524954795837402</v>
      </c>
      <c r="B4">
        <f>Score_Altman(B!A4,B!B4,B!C4,B!D4,B!E4,B!F4,B!G4)</f>
        <v>3.565223217010498</v>
      </c>
      <c r="C4">
        <f>Score_Altman('C'!A4,'C'!B4,'C'!C4,'C'!D4,'C'!E4,'C'!F4,'C'!G4)</f>
        <v>1.4511764049530029</v>
      </c>
      <c r="D4">
        <f>Score_Altman(D!A4,D!B4,D!C4,D!D4,D!E4,D!F4,D!G4)</f>
        <v>2.0626347064971924</v>
      </c>
      <c r="E4">
        <f>Score_Altman(E!A4,E!B4,E!C4,E!D4,E!E4,E!F4,E!G4)</f>
        <v>2.3830842971801758</v>
      </c>
    </row>
    <row r="5" spans="1:5" x14ac:dyDescent="0.25">
      <c r="A5">
        <f>Score_Altman(A!A5,A!B5,A!C5,A!D5,A!E5,A!F5,A!G5)</f>
        <v>5.4192872047424316</v>
      </c>
      <c r="B5">
        <f>Score_Altman(B!A5,B!B5,B!C5,B!D5,B!E5,B!F5,B!G5)</f>
        <v>-0.36182078719139099</v>
      </c>
      <c r="C5">
        <f>Score_Altman('C'!A5,'C'!B5,'C'!C5,'C'!D5,'C'!E5,'C'!F5,'C'!G5)</f>
        <v>2.952761173248291</v>
      </c>
      <c r="D5">
        <f>Score_Altman(D!A5,D!B5,D!C5,D!D5,D!E5,D!F5,D!G5)</f>
        <v>1.8341424465179443</v>
      </c>
      <c r="E5">
        <f>Score_Altman(E!A5,E!B5,E!C5,E!D5,E!E5,E!F5,E!G5)</f>
        <v>1.9260387420654297</v>
      </c>
    </row>
    <row r="6" spans="1:5" x14ac:dyDescent="0.25">
      <c r="A6">
        <f>Score_Altman(A!A6,A!B6,A!C6,A!D6,A!E6,A!F6,A!G6)</f>
        <v>3.4672293663024902</v>
      </c>
      <c r="B6">
        <f>Score_Altman(B!A6,B!B6,B!C6,B!D6,B!E6,B!F6,B!G6)</f>
        <v>0.27851366996765137</v>
      </c>
      <c r="C6">
        <f>Score_Altman('C'!A6,'C'!B6,'C'!C6,'C'!D6,'C'!E6,'C'!F6,'C'!G6)</f>
        <v>3.6642277240753174</v>
      </c>
      <c r="D6">
        <f>Score_Altman(D!A6,D!B6,D!C6,D!D6,D!E6,D!F6,D!G6)</f>
        <v>2.307793140411377</v>
      </c>
      <c r="E6">
        <f>Score_Altman(E!A6,E!B6,E!C6,E!D6,E!E6,E!F6,E!G6)</f>
        <v>3.0554437637329102</v>
      </c>
    </row>
    <row r="7" spans="1:5" x14ac:dyDescent="0.25">
      <c r="A7">
        <f>Score_Altman(A!A7,A!B7,A!C7,A!D7,A!E7,A!F7,A!G7)</f>
        <v>2.4969499111175537</v>
      </c>
      <c r="B7">
        <f>Score_Altman(B!A7,B!B7,B!C7,B!D7,B!E7,B!F7,B!G7)</f>
        <v>2.8743009567260742</v>
      </c>
      <c r="C7">
        <f>Score_Altman('C'!A7,'C'!B7,'C'!C7,'C'!D7,'C'!E7,'C'!F7,'C'!G7)</f>
        <v>3.6008048057556152</v>
      </c>
      <c r="D7">
        <f>Score_Altman(D!A7,D!B7,D!C7,D!D7,D!E7,D!F7,D!G7)</f>
        <v>1.5192086696624756</v>
      </c>
      <c r="E7">
        <f>Score_Altman(E!A7,E!B7,E!C7,E!D7,E!E7,E!F7,E!G7)</f>
        <v>4.7247462272644043</v>
      </c>
    </row>
    <row r="8" spans="1:5" x14ac:dyDescent="0.25">
      <c r="A8">
        <f>Score_Altman(A!A8,A!B8,A!C8,A!D8,A!E8,A!F8,A!G8)</f>
        <v>2.5531637668609619</v>
      </c>
      <c r="B8">
        <f>Score_Altman(B!A8,B!B8,B!C8,B!D8,B!E8,B!F8,B!G8)</f>
        <v>4.3861017227172852</v>
      </c>
      <c r="C8">
        <f>Score_Altman('C'!A8,'C'!B8,'C'!C8,'C'!D8,'C'!E8,'C'!F8,'C'!G8)</f>
        <v>1.2714110612869263</v>
      </c>
      <c r="D8">
        <f>Score_Altman(D!A8,D!B8,D!C8,D!D8,D!E8,D!F8,D!G8)</f>
        <v>4.7233610153198242</v>
      </c>
      <c r="E8">
        <f>Score_Altman(E!A8,E!B8,E!C8,E!D8,E!E8,E!F8,E!G8)</f>
        <v>0.95832449197769165</v>
      </c>
    </row>
    <row r="9" spans="1:5" x14ac:dyDescent="0.25">
      <c r="A9">
        <f>Score_Altman(A!A9,A!B9,A!C9,A!D9,A!E9,A!F9,A!G9)</f>
        <v>1.3520263433456421</v>
      </c>
      <c r="B9">
        <f>Score_Altman(B!A9,B!B9,B!C9,B!D9,B!E9,B!F9,B!G9)</f>
        <v>3.0959086418151855</v>
      </c>
      <c r="C9">
        <f>Score_Altman('C'!A9,'C'!B9,'C'!C9,'C'!D9,'C'!E9,'C'!F9,'C'!G9)</f>
        <v>4.1120271682739258</v>
      </c>
      <c r="D9">
        <f>Score_Altman(D!A9,D!B9,D!C9,D!D9,D!E9,D!F9,D!G9)</f>
        <v>0.32120543718338013</v>
      </c>
      <c r="E9">
        <f>Score_Altman(E!A9,E!B9,E!C9,E!D9,E!E9,E!F9,E!G9)</f>
        <v>2.1409313678741455</v>
      </c>
    </row>
    <row r="10" spans="1:5" x14ac:dyDescent="0.25">
      <c r="A10">
        <f>Score_Altman(A!A10,A!B10,A!C10,A!D10,A!E10,A!F10,A!G10)</f>
        <v>1.9715535640716553</v>
      </c>
      <c r="B10">
        <f>Score_Altman(B!A10,B!B10,B!C10,B!D10,B!E10,B!F10,B!G10)</f>
        <v>4.418001651763916</v>
      </c>
      <c r="C10">
        <f>Score_Altman('C'!A10,'C'!B10,'C'!C10,'C'!D10,'C'!E10,'C'!F10,'C'!G10)</f>
        <v>1.9469759464263916</v>
      </c>
      <c r="D10">
        <f>Score_Altman(D!A10,D!B10,D!C10,D!D10,D!E10,D!F10,D!G10)</f>
        <v>3.4297471046447754</v>
      </c>
      <c r="E10">
        <f>Score_Altman(E!A10,E!B10,E!C10,E!D10,E!E10,E!F10,E!G10)</f>
        <v>3.6481287479400635</v>
      </c>
    </row>
    <row r="11" spans="1:5" x14ac:dyDescent="0.25">
      <c r="A11">
        <f>Score_Altman(A!A11,A!B11,A!C11,A!D11,A!E11,A!F11,A!G11)</f>
        <v>4.123044490814209</v>
      </c>
      <c r="B11">
        <f>Score_Altman(B!A11,B!B11,B!C11,B!D11,B!E11,B!F11,B!G11)</f>
        <v>2.1980204582214355</v>
      </c>
      <c r="C11">
        <f>Score_Altman('C'!A11,'C'!B11,'C'!C11,'C'!D11,'C'!E11,'C'!F11,'C'!G11)</f>
        <v>1.8111437559127808</v>
      </c>
      <c r="D11">
        <f>Score_Altman(D!A11,D!B11,D!C11,D!D11,D!E11,D!F11,D!G11)</f>
        <v>2.8166186809539795</v>
      </c>
      <c r="E11">
        <f>Score_Altman(E!A11,E!B11,E!C11,E!D11,E!E11,E!F11,E!G11)</f>
        <v>1.3651108741760254</v>
      </c>
    </row>
    <row r="12" spans="1:5" x14ac:dyDescent="0.25">
      <c r="A12">
        <f>Score_Altman(A!A12,A!B12,A!C12,A!D12,A!E12,A!F12,A!G12)</f>
        <v>0.68745297193527222</v>
      </c>
      <c r="B12">
        <f>Score_Altman(B!A12,B!B12,B!C12,B!D12,B!E12,B!F12,B!G12)</f>
        <v>3.1656270027160645</v>
      </c>
      <c r="C12">
        <f>Score_Altman('C'!A12,'C'!B12,'C'!C12,'C'!D12,'C'!E12,'C'!F12,'C'!G12)</f>
        <v>2.3347156047821045</v>
      </c>
      <c r="D12">
        <f>Score_Altman(D!A12,D!B12,D!C12,D!D12,D!E12,D!F12,D!G12)</f>
        <v>3.2431461811065674</v>
      </c>
      <c r="E12">
        <f>Score_Altman(E!A12,E!B12,E!C12,E!D12,E!E12,E!F12,E!G12)</f>
        <v>4.3085417747497559</v>
      </c>
    </row>
    <row r="13" spans="1:5" x14ac:dyDescent="0.25">
      <c r="A13">
        <f>Score_Altman(A!A13,A!B13,A!C13,A!D13,A!E13,A!F13,A!G13)</f>
        <v>1.7693206071853638</v>
      </c>
      <c r="B13">
        <f>Score_Altman(B!A13,B!B13,B!C13,B!D13,B!E13,B!F13,B!G13)</f>
        <v>4.7870488166809082</v>
      </c>
      <c r="C13">
        <f>Score_Altman('C'!A13,'C'!B13,'C'!C13,'C'!D13,'C'!E13,'C'!F13,'C'!G13)</f>
        <v>1.0297422409057617</v>
      </c>
      <c r="D13">
        <f>Score_Altman(D!A13,D!B13,D!C13,D!D13,D!E13,D!F13,D!G13)</f>
        <v>0.52165806293487549</v>
      </c>
      <c r="E13">
        <f>Score_Altman(E!A13,E!B13,E!C13,E!D13,E!E13,E!F13,E!G13)</f>
        <v>2.1049706935882568</v>
      </c>
    </row>
    <row r="14" spans="1:5" x14ac:dyDescent="0.25">
      <c r="A14">
        <f>Score_Altman(A!A14,A!B14,A!C14,A!D14,A!E14,A!F14,A!G14)</f>
        <v>1.1813898086547852</v>
      </c>
      <c r="B14">
        <f>Score_Altman(B!A14,B!B14,B!C14,B!D14,B!E14,B!F14,B!G14)</f>
        <v>1.7794226408004761</v>
      </c>
      <c r="C14">
        <f>Score_Altman('C'!A14,'C'!B14,'C'!C14,'C'!D14,'C'!E14,'C'!F14,'C'!G14)</f>
        <v>4.1155362129211426</v>
      </c>
      <c r="D14">
        <f>Score_Altman(D!A14,D!B14,D!C14,D!D14,D!E14,D!F14,D!G14)</f>
        <v>2.217679500579834</v>
      </c>
      <c r="E14">
        <f>Score_Altman(E!A14,E!B14,E!C14,E!D14,E!E14,E!F14,E!G14)</f>
        <v>0.28634783625602722</v>
      </c>
    </row>
    <row r="15" spans="1:5" x14ac:dyDescent="0.25">
      <c r="A15">
        <f>Score_Altman(A!A15,A!B15,A!C15,A!D15,A!E15,A!F15,A!G15)</f>
        <v>0.67225229740142822</v>
      </c>
      <c r="B15">
        <f>Score_Altman(B!A15,B!B15,B!C15,B!D15,B!E15,B!F15,B!G15)</f>
        <v>2.1461522579193115</v>
      </c>
      <c r="C15">
        <f>Score_Altman('C'!A15,'C'!B15,'C'!C15,'C'!D15,'C'!E15,'C'!F15,'C'!G15)</f>
        <v>2.4772210121154785</v>
      </c>
      <c r="D15">
        <f>Score_Altman(D!A15,D!B15,D!C15,D!D15,D!E15,D!F15,D!G15)</f>
        <v>1.6434558629989624</v>
      </c>
      <c r="E15">
        <f>Score_Altman(E!A15,E!B15,E!C15,E!D15,E!E15,E!F15,E!G15)</f>
        <v>4.4920773506164551</v>
      </c>
    </row>
    <row r="16" spans="1:5" x14ac:dyDescent="0.25">
      <c r="A16">
        <f>Score_Altman(A!A16,A!B16,A!C16,A!D16,A!E16,A!F16,A!G16)</f>
        <v>2.7409627437591553</v>
      </c>
      <c r="B16">
        <f>Score_Altman(B!A16,B!B16,B!C16,B!D16,B!E16,B!F16,B!G16)</f>
        <v>3.6417555809020996</v>
      </c>
      <c r="C16">
        <f>Score_Altman('C'!A16,'C'!B16,'C'!C16,'C'!D16,'C'!E16,'C'!F16,'C'!G16)</f>
        <v>3.2721717357635498</v>
      </c>
      <c r="D16">
        <f>Score_Altman(D!A16,D!B16,D!C16,D!D16,D!E16,D!F16,D!G16)</f>
        <v>3.9256742000579834</v>
      </c>
      <c r="E16">
        <f>Score_Altman(E!A16,E!B16,E!C16,E!D16,E!E16,E!F16,E!G16)</f>
        <v>2.9552919864654541</v>
      </c>
    </row>
    <row r="17" spans="1:5" x14ac:dyDescent="0.25">
      <c r="A17">
        <f>Score_Altman(A!A17,A!B17,A!C17,A!D17,A!E17,A!F17,A!G17)</f>
        <v>2.9628114700317383</v>
      </c>
      <c r="B17">
        <f>Score_Altman(B!A17,B!B17,B!C17,B!D17,B!E17,B!F17,B!G17)</f>
        <v>0.92058455944061279</v>
      </c>
      <c r="C17">
        <f>Score_Altman('C'!A17,'C'!B17,'C'!C17,'C'!D17,'C'!E17,'C'!F17,'C'!G17)</f>
        <v>-0.84737223386764526</v>
      </c>
      <c r="D17">
        <f>Score_Altman(D!A17,D!B17,D!C17,D!D17,D!E17,D!F17,D!G17)</f>
        <v>5.4616179466247559</v>
      </c>
      <c r="E17">
        <f>Score_Altman(E!A17,E!B17,E!C17,E!D17,E!E17,E!F17,E!G17)</f>
        <v>3.0442209243774414</v>
      </c>
    </row>
    <row r="18" spans="1:5" x14ac:dyDescent="0.25">
      <c r="A18">
        <f>Score_Altman(A!A18,A!B18,A!C18,A!D18,A!E18,A!F18,A!G18)</f>
        <v>3.528620719909668</v>
      </c>
      <c r="B18">
        <f>Score_Altman(B!A18,B!B18,B!C18,B!D18,B!E18,B!F18,B!G18)</f>
        <v>2.7479305267333984</v>
      </c>
      <c r="C18">
        <f>Score_Altman('C'!A18,'C'!B18,'C'!C18,'C'!D18,'C'!E18,'C'!F18,'C'!G18)</f>
        <v>5.2657809257507324</v>
      </c>
      <c r="D18">
        <f>Score_Altman(D!A18,D!B18,D!C18,D!D18,D!E18,D!F18,D!G18)</f>
        <v>3.2767207622528076</v>
      </c>
      <c r="E18">
        <f>Score_Altman(E!A18,E!B18,E!C18,E!D18,E!E18,E!F18,E!G18)</f>
        <v>1.148442268371582</v>
      </c>
    </row>
    <row r="19" spans="1:5" x14ac:dyDescent="0.25">
      <c r="A19">
        <f>Score_Altman(A!A19,A!B19,A!C19,A!D19,A!E19,A!F19,A!G19)</f>
        <v>1.9019956588745117</v>
      </c>
      <c r="B19">
        <f>Score_Altman(B!A19,B!B19,B!C19,B!D19,B!E19,B!F19,B!G19)</f>
        <v>1.0453681945800781</v>
      </c>
      <c r="C19">
        <f>Score_Altman('C'!A19,'C'!B19,'C'!C19,'C'!D19,'C'!E19,'C'!F19,'C'!G19)</f>
        <v>3.4142665863037109</v>
      </c>
      <c r="D19">
        <f>Score_Altman(D!A19,D!B19,D!C19,D!D19,D!E19,D!F19,D!G19)</f>
        <v>1.4487523585557938E-2</v>
      </c>
      <c r="E19">
        <f>Score_Altman(E!A19,E!B19,E!C19,E!D19,E!E19,E!F19,E!G19)</f>
        <v>1.8822647333145142</v>
      </c>
    </row>
    <row r="20" spans="1:5" x14ac:dyDescent="0.25">
      <c r="A20">
        <f>Score_Altman(A!A20,A!B20,A!C20,A!D20,A!E20,A!F20,A!G20)</f>
        <v>3.1514401435852051</v>
      </c>
      <c r="B20">
        <f>Score_Altman(B!A20,B!B20,B!C20,B!D20,B!E20,B!F20,B!G20)</f>
        <v>4.5444855690002441</v>
      </c>
      <c r="C20">
        <f>Score_Altman('C'!A20,'C'!B20,'C'!C20,'C'!D20,'C'!E20,'C'!F20,'C'!G20)</f>
        <v>1.4701665639877319</v>
      </c>
      <c r="D20">
        <f>Score_Altman(D!A20,D!B20,D!C20,D!D20,D!E20,D!F20,D!G20)</f>
        <v>4.8117165565490723</v>
      </c>
      <c r="E20">
        <f>Score_Altman(E!A20,E!B20,E!C20,E!D20,E!E20,E!F20,E!G20)</f>
        <v>2.0136187076568604</v>
      </c>
    </row>
    <row r="21" spans="1:5" x14ac:dyDescent="0.25">
      <c r="A21">
        <f>Score_Altman(A!A21,A!B21,A!C21,A!D21,A!E21,A!F21,A!G21)</f>
        <v>0.45246067643165588</v>
      </c>
      <c r="B21">
        <f>Score_Altman(B!A21,B!B21,B!C21,B!D21,B!E21,B!F21,B!G21)</f>
        <v>2.5016484260559082</v>
      </c>
      <c r="C21">
        <f>Score_Altman('C'!A21,'C'!B21,'C'!C21,'C'!D21,'C'!E21,'C'!F21,'C'!G21)</f>
        <v>3.3947584629058838</v>
      </c>
      <c r="D21">
        <f>Score_Altman(D!A21,D!B21,D!C21,D!D21,D!E21,D!F21,D!G21)</f>
        <v>0.47210267186164856</v>
      </c>
      <c r="E21">
        <f>Score_Altman(E!A21,E!B21,E!C21,E!D21,E!E21,E!F21,E!G21)</f>
        <v>2.0531032085418701</v>
      </c>
    </row>
  </sheetData>
  <conditionalFormatting sqref="A2:E21">
    <cfRule type="colorScale" priority="2">
      <colorScale>
        <cfvo type="num" val="1.81"/>
        <cfvo type="num" val="2.4"/>
        <cfvo type="num" val="2.99"/>
        <color rgb="FFFF0000"/>
        <color rgb="FFFFEB84"/>
        <color rgb="FF63BE7B"/>
      </colorScale>
    </cfRule>
    <cfRule type="colorScale" priority="3">
      <colorScale>
        <cfvo type="num" val="1.81"/>
        <cfvo type="num" val="2.4"/>
        <cfvo type="num" val="2.99"/>
        <color rgb="FFFF0000"/>
        <color rgb="FFFFFF00"/>
        <color rgb="FF00C813"/>
      </colorScale>
    </cfRule>
    <cfRule type="colorScale" priority="4">
      <colorScale>
        <cfvo type="num" val="1.81"/>
        <cfvo type="num" val="2.4"/>
        <cfvo type="num" val="2.99"/>
        <color rgb="FFF5272C"/>
        <color rgb="FFFFFF00"/>
        <color rgb="FF00C813"/>
      </colorScale>
    </cfRule>
    <cfRule type="colorScale" priority="5">
      <colorScale>
        <cfvo type="num" val="1.81"/>
        <cfvo type="num" val="2.4"/>
        <cfvo type="num" val="2.99"/>
        <color rgb="FFFF0000"/>
        <color rgb="FFFFFF00"/>
        <color rgb="FF007635"/>
      </colorScale>
    </cfRule>
    <cfRule type="colorScale" priority="6">
      <colorScale>
        <cfvo type="num" val="&quot;1.81&quot;"/>
        <cfvo type="num" val="&quot;2.4&quot;"/>
        <cfvo type="num" val="&quot;2.99&quot;"/>
        <color rgb="FFFF0000"/>
        <color rgb="FFFFFF00"/>
        <color rgb="FF007635"/>
      </colorScale>
    </cfRule>
    <cfRule type="colorScale" priority="7">
      <colorScale>
        <cfvo type="num" val="&quot;1.81&quot;"/>
        <cfvo type="num" val="&quot;2.4&quot;"/>
        <cfvo type="num" val="&quot;2.99&quot;"/>
        <color rgb="FFFF0000"/>
        <color rgb="FFFFFF00"/>
        <color rgb="FF00B050"/>
      </colorScale>
    </cfRule>
    <cfRule type="colorScale" priority="8">
      <colorScale>
        <cfvo type="num" val="&quot;1.81&quot;"/>
        <cfvo type="num" val="&quot;2.4&quot;"/>
        <cfvo type="num" val="&quot;2.99&quot;"/>
        <color rgb="FFFF0000"/>
        <color rgb="FFFFFF00"/>
        <color rgb="FF007635"/>
      </colorScale>
    </cfRule>
  </conditionalFormatting>
  <conditionalFormatting sqref="A1:E21">
    <cfRule type="colorScale" priority="1">
      <colorScale>
        <cfvo type="num" val="1.81"/>
        <cfvo type="num" val="2.4"/>
        <cfvo type="num" val="2.99"/>
        <color rgb="FFFF0000"/>
        <color rgb="FFFFFF00"/>
        <color rgb="FF00C813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CFF06-BF67-480A-8C56-9D3FE5B1CC51}">
  <dimension ref="A1:D2"/>
  <sheetViews>
    <sheetView workbookViewId="0">
      <selection activeCell="C11" sqref="C11"/>
    </sheetView>
  </sheetViews>
  <sheetFormatPr baseColWidth="10" defaultRowHeight="15" x14ac:dyDescent="0.25"/>
  <sheetData>
    <row r="1" spans="1:4" ht="18.75" x14ac:dyDescent="0.3">
      <c r="A1" s="3" t="s">
        <v>12</v>
      </c>
      <c r="B1" s="4" t="s">
        <v>13</v>
      </c>
      <c r="C1" s="6"/>
      <c r="D1" s="5" t="s">
        <v>14</v>
      </c>
    </row>
    <row r="2" spans="1:4" x14ac:dyDescent="0.25">
      <c r="A2">
        <f>COUNTIF(Heatmap!A2:E21,"&lt;1,81")</f>
        <v>27</v>
      </c>
      <c r="B2">
        <f>COUNTIFS(Heatmap!A2:E21,"&gt;=1,81",Heatmap!A2:E21,"&lt;2,99")</f>
        <v>37</v>
      </c>
      <c r="D2">
        <f>COUNTIF(Heatmap!A2:E21,"&gt;2,99")</f>
        <v>36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 filterMode="1"/>
  <dimension ref="A1:H21"/>
  <sheetViews>
    <sheetView workbookViewId="0">
      <selection activeCell="A2" sqref="A2:G21"/>
    </sheetView>
  </sheetViews>
  <sheetFormatPr baseColWidth="10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15</v>
      </c>
    </row>
    <row r="2" spans="1:8" x14ac:dyDescent="0.25">
      <c r="A2" s="1">
        <v>10239761</v>
      </c>
      <c r="B2" s="1">
        <v>7216077</v>
      </c>
      <c r="C2" s="1">
        <v>22323551</v>
      </c>
      <c r="D2" s="1">
        <v>7116077</v>
      </c>
      <c r="E2" s="1">
        <v>181379</v>
      </c>
      <c r="F2" s="1">
        <v>12083790</v>
      </c>
      <c r="G2" s="1">
        <v>7815880</v>
      </c>
      <c r="H2">
        <f>Score_Altman(A2,B2,C2,D2,E2,F2,G2)</f>
        <v>2.4137012958526611</v>
      </c>
    </row>
    <row r="3" spans="1:8" x14ac:dyDescent="0.25">
      <c r="A3" s="1">
        <v>-5188964</v>
      </c>
      <c r="B3" s="1">
        <v>6301456</v>
      </c>
      <c r="C3" s="1">
        <v>10585803</v>
      </c>
      <c r="D3" s="1">
        <v>6201456</v>
      </c>
      <c r="E3" s="1">
        <v>481592</v>
      </c>
      <c r="F3" s="1">
        <v>15774767</v>
      </c>
      <c r="G3" s="1">
        <v>6609908</v>
      </c>
      <c r="H3">
        <f t="shared" ref="H3:H21" si="0">Score_Altman(A3,B3,C3,D3,E3,F3,G3)</f>
        <v>2.8205032348632813</v>
      </c>
    </row>
    <row r="4" spans="1:8" hidden="1" x14ac:dyDescent="0.25">
      <c r="A4" s="1">
        <v>7110072</v>
      </c>
      <c r="B4" s="1">
        <v>11769506</v>
      </c>
      <c r="C4" s="1">
        <v>21392423</v>
      </c>
      <c r="D4" s="1">
        <v>11669506</v>
      </c>
      <c r="E4" s="1">
        <v>432266</v>
      </c>
      <c r="F4" s="1">
        <v>14282351</v>
      </c>
      <c r="G4" s="1">
        <v>12373901</v>
      </c>
      <c r="H4">
        <f t="shared" si="0"/>
        <v>3.565223217010498</v>
      </c>
    </row>
    <row r="5" spans="1:8" hidden="1" x14ac:dyDescent="0.25">
      <c r="A5" s="1">
        <v>-4705002</v>
      </c>
      <c r="B5" s="1">
        <v>49854</v>
      </c>
      <c r="C5" s="1">
        <v>12760474</v>
      </c>
      <c r="D5" s="1">
        <v>-50146</v>
      </c>
      <c r="E5" s="1">
        <v>264554</v>
      </c>
      <c r="F5" s="1">
        <v>17465476</v>
      </c>
      <c r="G5" s="1">
        <v>1009722</v>
      </c>
      <c r="H5">
        <f t="shared" si="0"/>
        <v>-0.36182078719139099</v>
      </c>
    </row>
    <row r="6" spans="1:8" hidden="1" x14ac:dyDescent="0.25">
      <c r="A6" s="1">
        <v>-8007787</v>
      </c>
      <c r="B6" s="1">
        <v>2257975</v>
      </c>
      <c r="C6" s="1">
        <v>13637467</v>
      </c>
      <c r="D6" s="1">
        <v>2157975</v>
      </c>
      <c r="E6" s="1">
        <v>225825</v>
      </c>
      <c r="F6" s="1">
        <v>21645254</v>
      </c>
      <c r="G6" s="1">
        <v>3042758</v>
      </c>
      <c r="H6">
        <f t="shared" si="0"/>
        <v>0.27851366996765137</v>
      </c>
    </row>
    <row r="7" spans="1:8" x14ac:dyDescent="0.25">
      <c r="A7" s="1">
        <v>8443487</v>
      </c>
      <c r="B7" s="1">
        <v>7677471</v>
      </c>
      <c r="C7" s="1">
        <v>18950949</v>
      </c>
      <c r="D7" s="1">
        <v>7577471</v>
      </c>
      <c r="E7" s="1">
        <v>138883</v>
      </c>
      <c r="F7" s="1">
        <v>10507462</v>
      </c>
      <c r="G7" s="1">
        <v>8442581</v>
      </c>
      <c r="H7">
        <f t="shared" si="0"/>
        <v>2.8743009567260742</v>
      </c>
    </row>
    <row r="8" spans="1:8" hidden="1" x14ac:dyDescent="0.25">
      <c r="A8" s="1">
        <v>1558033</v>
      </c>
      <c r="B8" s="1">
        <v>12929599</v>
      </c>
      <c r="C8" s="1">
        <v>17280722</v>
      </c>
      <c r="D8" s="1">
        <v>12829599</v>
      </c>
      <c r="E8" s="1">
        <v>148004</v>
      </c>
      <c r="F8" s="1">
        <v>15722689</v>
      </c>
      <c r="G8" s="1">
        <v>13402050</v>
      </c>
      <c r="H8">
        <f t="shared" si="0"/>
        <v>4.3861017227172852</v>
      </c>
    </row>
    <row r="9" spans="1:8" hidden="1" x14ac:dyDescent="0.25">
      <c r="A9" s="1">
        <v>-1699302</v>
      </c>
      <c r="B9" s="1">
        <v>7321042</v>
      </c>
      <c r="C9" s="1">
        <v>12865033</v>
      </c>
      <c r="D9" s="1">
        <v>7221042</v>
      </c>
      <c r="E9" s="1">
        <v>214458</v>
      </c>
      <c r="F9" s="1">
        <v>14564335</v>
      </c>
      <c r="G9" s="1">
        <v>7683253</v>
      </c>
      <c r="H9">
        <f t="shared" si="0"/>
        <v>3.0959086418151855</v>
      </c>
    </row>
    <row r="10" spans="1:8" hidden="1" x14ac:dyDescent="0.25">
      <c r="A10" s="1">
        <v>-5958196</v>
      </c>
      <c r="B10" s="1">
        <v>14219713</v>
      </c>
      <c r="C10" s="1">
        <v>16739427</v>
      </c>
      <c r="D10" s="1">
        <v>14119713</v>
      </c>
      <c r="E10" s="1">
        <v>388391</v>
      </c>
      <c r="F10" s="1">
        <v>22697623</v>
      </c>
      <c r="G10" s="1">
        <v>14444580</v>
      </c>
      <c r="H10">
        <f t="shared" si="0"/>
        <v>4.418001651763916</v>
      </c>
    </row>
    <row r="11" spans="1:8" x14ac:dyDescent="0.25">
      <c r="A11" s="1">
        <v>-10450267</v>
      </c>
      <c r="B11" s="1">
        <v>7723385</v>
      </c>
      <c r="C11" s="1">
        <v>14483512</v>
      </c>
      <c r="D11" s="1">
        <v>7623385</v>
      </c>
      <c r="E11" s="1">
        <v>363396</v>
      </c>
      <c r="F11" s="1">
        <v>24933779</v>
      </c>
      <c r="G11" s="1">
        <v>8287099</v>
      </c>
      <c r="H11">
        <f t="shared" si="0"/>
        <v>2.1980204582214355</v>
      </c>
    </row>
    <row r="12" spans="1:8" hidden="1" x14ac:dyDescent="0.25">
      <c r="A12" s="1">
        <v>3102730</v>
      </c>
      <c r="B12" s="1">
        <v>13433304</v>
      </c>
      <c r="C12" s="1">
        <v>25517865</v>
      </c>
      <c r="D12" s="1">
        <v>13333304</v>
      </c>
      <c r="E12" s="1">
        <v>249202</v>
      </c>
      <c r="F12" s="1">
        <v>22415135</v>
      </c>
      <c r="G12" s="1">
        <v>14094108</v>
      </c>
      <c r="H12">
        <f t="shared" si="0"/>
        <v>3.1656270027160645</v>
      </c>
    </row>
    <row r="13" spans="1:8" hidden="1" x14ac:dyDescent="0.25">
      <c r="A13" s="1">
        <v>-9515416</v>
      </c>
      <c r="B13" s="1">
        <v>13245123</v>
      </c>
      <c r="C13" s="1">
        <v>13415355</v>
      </c>
      <c r="D13" s="1">
        <v>13145123</v>
      </c>
      <c r="E13" s="1">
        <v>363508</v>
      </c>
      <c r="F13" s="1">
        <v>22930771</v>
      </c>
      <c r="G13" s="1">
        <v>13602386</v>
      </c>
      <c r="H13">
        <f t="shared" si="0"/>
        <v>4.7870488166809082</v>
      </c>
    </row>
    <row r="14" spans="1:8" hidden="1" x14ac:dyDescent="0.25">
      <c r="A14" s="1">
        <v>9684313</v>
      </c>
      <c r="B14" s="1">
        <v>4759231</v>
      </c>
      <c r="C14" s="1">
        <v>22248542</v>
      </c>
      <c r="D14" s="1">
        <v>4659231</v>
      </c>
      <c r="E14" s="1">
        <v>344243</v>
      </c>
      <c r="F14" s="1">
        <v>12564229</v>
      </c>
      <c r="G14" s="1">
        <v>5569819</v>
      </c>
      <c r="H14">
        <f t="shared" si="0"/>
        <v>1.7794226408004761</v>
      </c>
    </row>
    <row r="15" spans="1:8" x14ac:dyDescent="0.25">
      <c r="A15" s="1">
        <v>9067748</v>
      </c>
      <c r="B15" s="1">
        <v>6505027</v>
      </c>
      <c r="C15" s="1">
        <v>22729020</v>
      </c>
      <c r="D15" s="1">
        <v>6405027</v>
      </c>
      <c r="E15" s="1">
        <v>201039</v>
      </c>
      <c r="F15" s="1">
        <v>13661272</v>
      </c>
      <c r="G15" s="1">
        <v>7461786</v>
      </c>
      <c r="H15">
        <f t="shared" si="0"/>
        <v>2.1461522579193115</v>
      </c>
    </row>
    <row r="16" spans="1:8" hidden="1" x14ac:dyDescent="0.25">
      <c r="A16" s="1">
        <v>-1118680</v>
      </c>
      <c r="B16" s="1">
        <v>13207491</v>
      </c>
      <c r="C16" s="1">
        <v>20511012</v>
      </c>
      <c r="D16" s="1">
        <v>13107491</v>
      </c>
      <c r="E16" s="1">
        <v>245968</v>
      </c>
      <c r="F16" s="1">
        <v>21629692</v>
      </c>
      <c r="G16" s="1">
        <v>14167518</v>
      </c>
      <c r="H16">
        <f t="shared" si="0"/>
        <v>3.6417555809020996</v>
      </c>
    </row>
    <row r="17" spans="1:8" hidden="1" x14ac:dyDescent="0.25">
      <c r="A17" s="1">
        <v>5206084</v>
      </c>
      <c r="B17" s="1">
        <v>2402015</v>
      </c>
      <c r="C17" s="1">
        <v>21742356</v>
      </c>
      <c r="D17" s="1">
        <v>2302015</v>
      </c>
      <c r="E17" s="1">
        <v>148290</v>
      </c>
      <c r="F17" s="1">
        <v>16536272</v>
      </c>
      <c r="G17" s="1">
        <v>2694615</v>
      </c>
      <c r="H17">
        <f t="shared" si="0"/>
        <v>0.92058455944061279</v>
      </c>
    </row>
    <row r="18" spans="1:8" x14ac:dyDescent="0.25">
      <c r="A18" s="1">
        <v>-795227</v>
      </c>
      <c r="B18" s="1">
        <v>10817831</v>
      </c>
      <c r="C18" s="1">
        <v>22192778</v>
      </c>
      <c r="D18" s="1">
        <v>10717831</v>
      </c>
      <c r="E18" s="1">
        <v>200485</v>
      </c>
      <c r="F18" s="1">
        <v>22988005</v>
      </c>
      <c r="G18" s="1">
        <v>11319869</v>
      </c>
      <c r="H18">
        <f t="shared" si="0"/>
        <v>2.7479305267333984</v>
      </c>
    </row>
    <row r="19" spans="1:8" hidden="1" x14ac:dyDescent="0.25">
      <c r="A19" s="1">
        <v>9567109</v>
      </c>
      <c r="B19" s="1">
        <v>2080415</v>
      </c>
      <c r="C19" s="1">
        <v>23002305</v>
      </c>
      <c r="D19" s="1">
        <v>1980415</v>
      </c>
      <c r="E19" s="1">
        <v>199289</v>
      </c>
      <c r="F19" s="1">
        <v>13435196</v>
      </c>
      <c r="G19" s="1">
        <v>2915591</v>
      </c>
      <c r="H19">
        <f t="shared" si="0"/>
        <v>1.0453681945800781</v>
      </c>
    </row>
    <row r="20" spans="1:8" hidden="1" x14ac:dyDescent="0.25">
      <c r="A20" s="1">
        <v>-448492</v>
      </c>
      <c r="B20" s="1">
        <v>12111962</v>
      </c>
      <c r="C20" s="1">
        <v>15153729</v>
      </c>
      <c r="D20" s="1">
        <v>12011962</v>
      </c>
      <c r="E20" s="1">
        <v>428139</v>
      </c>
      <c r="F20" s="1">
        <v>15602221</v>
      </c>
      <c r="G20" s="1">
        <v>12570944</v>
      </c>
      <c r="H20">
        <f t="shared" si="0"/>
        <v>4.5444855690002441</v>
      </c>
    </row>
    <row r="21" spans="1:8" x14ac:dyDescent="0.25">
      <c r="A21" s="1">
        <v>-467841</v>
      </c>
      <c r="B21" s="1">
        <v>6960226</v>
      </c>
      <c r="C21" s="1">
        <v>15805880</v>
      </c>
      <c r="D21" s="1">
        <v>6860226</v>
      </c>
      <c r="E21" s="1">
        <v>207048</v>
      </c>
      <c r="F21" s="1">
        <v>16273721</v>
      </c>
      <c r="G21" s="1">
        <v>7606049</v>
      </c>
      <c r="H21">
        <f t="shared" si="0"/>
        <v>2.5016484260559082</v>
      </c>
    </row>
  </sheetData>
  <autoFilter ref="A1:H21" xr:uid="{B3D6394D-3BDF-4EB9-8039-6B11BD546C1C}">
    <filterColumn colId="7">
      <customFilters and="1">
        <customFilter operator="greaterThanOrEqual" val="1.81"/>
        <customFilter operator="lessThan" val="2.99"/>
      </customFilters>
    </filterColumn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 filterMode="1"/>
  <dimension ref="A1:H21"/>
  <sheetViews>
    <sheetView workbookViewId="0">
      <selection activeCell="A2" sqref="A2:G15"/>
    </sheetView>
  </sheetViews>
  <sheetFormatPr baseColWidth="10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15</v>
      </c>
    </row>
    <row r="2" spans="1:8" x14ac:dyDescent="0.25">
      <c r="A2" s="1">
        <v>-4071868</v>
      </c>
      <c r="B2" s="1">
        <v>8971976</v>
      </c>
      <c r="C2" s="1">
        <v>15701038</v>
      </c>
      <c r="D2" s="1">
        <v>8871976</v>
      </c>
      <c r="E2" s="1">
        <v>203124</v>
      </c>
      <c r="F2" s="1">
        <v>19772906</v>
      </c>
      <c r="G2" s="1">
        <v>9253255</v>
      </c>
      <c r="H2">
        <f t="shared" ref="H2:H21" si="0">Score_Altman(A2,B2,C2,D2,E2,F2,G2)</f>
        <v>2.9483926296234131</v>
      </c>
    </row>
    <row r="3" spans="1:8" x14ac:dyDescent="0.25">
      <c r="A3" s="1">
        <v>792206</v>
      </c>
      <c r="B3" s="1">
        <v>10563750</v>
      </c>
      <c r="C3" s="1">
        <v>22159962</v>
      </c>
      <c r="D3" s="1">
        <v>10463750</v>
      </c>
      <c r="E3" s="1">
        <v>208170</v>
      </c>
      <c r="F3" s="1">
        <v>21367756</v>
      </c>
      <c r="G3" s="1">
        <v>10921264</v>
      </c>
      <c r="H3">
        <f t="shared" si="0"/>
        <v>2.7667081356048584</v>
      </c>
    </row>
    <row r="4" spans="1:8" hidden="1" x14ac:dyDescent="0.25">
      <c r="A4" s="1">
        <v>5640419</v>
      </c>
      <c r="B4" s="1">
        <v>5228828</v>
      </c>
      <c r="C4" s="1">
        <v>25743034</v>
      </c>
      <c r="D4" s="1">
        <v>5128828</v>
      </c>
      <c r="E4" s="1">
        <v>306697</v>
      </c>
      <c r="F4" s="1">
        <v>20102615</v>
      </c>
      <c r="G4" s="1">
        <v>6114153</v>
      </c>
      <c r="H4">
        <f t="shared" si="0"/>
        <v>1.4511764049530029</v>
      </c>
    </row>
    <row r="5" spans="1:8" x14ac:dyDescent="0.25">
      <c r="A5" s="1">
        <v>4210530</v>
      </c>
      <c r="B5" s="1">
        <v>8992874</v>
      </c>
      <c r="C5" s="1">
        <v>19122529</v>
      </c>
      <c r="D5" s="1">
        <v>8892874</v>
      </c>
      <c r="E5" s="1">
        <v>255600</v>
      </c>
      <c r="F5" s="1">
        <v>14911999</v>
      </c>
      <c r="G5" s="1">
        <v>9287741</v>
      </c>
      <c r="H5">
        <f t="shared" si="0"/>
        <v>2.952761173248291</v>
      </c>
    </row>
    <row r="6" spans="1:8" hidden="1" x14ac:dyDescent="0.25">
      <c r="A6" s="1">
        <v>2887233</v>
      </c>
      <c r="B6" s="1">
        <v>13147117</v>
      </c>
      <c r="C6" s="1">
        <v>21448394</v>
      </c>
      <c r="D6" s="1">
        <v>13047117</v>
      </c>
      <c r="E6" s="1">
        <v>196255</v>
      </c>
      <c r="F6" s="1">
        <v>18561161</v>
      </c>
      <c r="G6" s="1">
        <v>13543145</v>
      </c>
      <c r="H6">
        <f t="shared" si="0"/>
        <v>3.6642277240753174</v>
      </c>
    </row>
    <row r="7" spans="1:8" hidden="1" x14ac:dyDescent="0.25">
      <c r="A7" s="1">
        <v>1685691</v>
      </c>
      <c r="B7" s="1">
        <v>12971148</v>
      </c>
      <c r="C7" s="1">
        <v>21322103</v>
      </c>
      <c r="D7" s="1">
        <v>12871148</v>
      </c>
      <c r="E7" s="1">
        <v>347600</v>
      </c>
      <c r="F7" s="1">
        <v>19636412</v>
      </c>
      <c r="G7" s="1">
        <v>13906952</v>
      </c>
      <c r="H7">
        <f t="shared" si="0"/>
        <v>3.6008048057556152</v>
      </c>
    </row>
    <row r="8" spans="1:8" hidden="1" x14ac:dyDescent="0.25">
      <c r="A8" s="1">
        <v>-3225736</v>
      </c>
      <c r="B8" s="1">
        <v>4960797</v>
      </c>
      <c r="C8" s="1">
        <v>19580822</v>
      </c>
      <c r="D8" s="1">
        <v>4860797</v>
      </c>
      <c r="E8" s="1">
        <v>365350</v>
      </c>
      <c r="F8" s="1">
        <v>22806558</v>
      </c>
      <c r="G8" s="1">
        <v>5597803</v>
      </c>
      <c r="H8">
        <f t="shared" si="0"/>
        <v>1.2714110612869263</v>
      </c>
    </row>
    <row r="9" spans="1:8" hidden="1" x14ac:dyDescent="0.25">
      <c r="A9" s="1">
        <v>3125064</v>
      </c>
      <c r="B9" s="1">
        <v>14107331</v>
      </c>
      <c r="C9" s="1">
        <v>20552628</v>
      </c>
      <c r="D9" s="1">
        <v>14007331</v>
      </c>
      <c r="E9" s="1">
        <v>296064</v>
      </c>
      <c r="F9" s="1">
        <v>17427564</v>
      </c>
      <c r="G9" s="1">
        <v>14593538</v>
      </c>
      <c r="H9">
        <f t="shared" si="0"/>
        <v>4.1120271682739258</v>
      </c>
    </row>
    <row r="10" spans="1:8" x14ac:dyDescent="0.25">
      <c r="A10" s="1">
        <v>4819843</v>
      </c>
      <c r="B10" s="1">
        <v>6813112</v>
      </c>
      <c r="C10" s="1">
        <v>23154062</v>
      </c>
      <c r="D10" s="1">
        <v>6713112</v>
      </c>
      <c r="E10" s="1">
        <v>266841</v>
      </c>
      <c r="F10" s="1">
        <v>18334219</v>
      </c>
      <c r="G10" s="1">
        <v>7410181</v>
      </c>
      <c r="H10">
        <f t="shared" si="0"/>
        <v>1.9469759464263916</v>
      </c>
    </row>
    <row r="11" spans="1:8" x14ac:dyDescent="0.25">
      <c r="A11" s="1">
        <v>1524804</v>
      </c>
      <c r="B11" s="1">
        <v>5173541</v>
      </c>
      <c r="C11" s="1">
        <v>17658795</v>
      </c>
      <c r="D11" s="1">
        <v>5073541</v>
      </c>
      <c r="E11" s="1">
        <v>449026</v>
      </c>
      <c r="F11" s="1">
        <v>16133991</v>
      </c>
      <c r="G11" s="1">
        <v>5878212</v>
      </c>
      <c r="H11">
        <f t="shared" si="0"/>
        <v>1.8111437559127808</v>
      </c>
    </row>
    <row r="12" spans="1:8" x14ac:dyDescent="0.25">
      <c r="A12" s="1">
        <v>-1946723</v>
      </c>
      <c r="B12" s="1">
        <v>6728620</v>
      </c>
      <c r="C12" s="1">
        <v>15406364</v>
      </c>
      <c r="D12" s="1">
        <v>6628620</v>
      </c>
      <c r="E12" s="1">
        <v>228340</v>
      </c>
      <c r="F12" s="1">
        <v>17353087</v>
      </c>
      <c r="G12" s="1">
        <v>6896293</v>
      </c>
      <c r="H12">
        <f t="shared" si="0"/>
        <v>2.3347156047821045</v>
      </c>
    </row>
    <row r="13" spans="1:8" hidden="1" x14ac:dyDescent="0.25">
      <c r="A13" s="1">
        <v>1153126</v>
      </c>
      <c r="B13" s="1">
        <v>3656309</v>
      </c>
      <c r="C13" s="1">
        <v>22435472</v>
      </c>
      <c r="D13" s="1">
        <v>3556309</v>
      </c>
      <c r="E13" s="1">
        <v>370975</v>
      </c>
      <c r="F13" s="1">
        <v>21282346</v>
      </c>
      <c r="G13" s="1">
        <v>4634339</v>
      </c>
      <c r="H13">
        <f t="shared" si="0"/>
        <v>1.0297422409057617</v>
      </c>
    </row>
    <row r="14" spans="1:8" hidden="1" x14ac:dyDescent="0.25">
      <c r="A14" s="1">
        <v>-2832271</v>
      </c>
      <c r="B14" s="1">
        <v>9000832</v>
      </c>
      <c r="C14" s="1">
        <v>11683026</v>
      </c>
      <c r="D14" s="1">
        <v>8900832</v>
      </c>
      <c r="E14" s="1">
        <v>107927</v>
      </c>
      <c r="F14" s="1">
        <v>14515297</v>
      </c>
      <c r="G14" s="1">
        <v>9464077</v>
      </c>
      <c r="H14">
        <f t="shared" si="0"/>
        <v>4.1155362129211426</v>
      </c>
    </row>
    <row r="15" spans="1:8" x14ac:dyDescent="0.25">
      <c r="A15" s="1">
        <v>2101397</v>
      </c>
      <c r="B15" s="1">
        <v>8502703</v>
      </c>
      <c r="C15" s="1">
        <v>20815120</v>
      </c>
      <c r="D15" s="1">
        <v>8402703</v>
      </c>
      <c r="E15" s="1">
        <v>309383</v>
      </c>
      <c r="F15" s="1">
        <v>18713723</v>
      </c>
      <c r="G15" s="1">
        <v>9212010</v>
      </c>
      <c r="H15">
        <f t="shared" si="0"/>
        <v>2.4772210121154785</v>
      </c>
    </row>
    <row r="16" spans="1:8" hidden="1" x14ac:dyDescent="0.25">
      <c r="A16" s="1">
        <v>-1287452</v>
      </c>
      <c r="B16" s="1">
        <v>10478281</v>
      </c>
      <c r="C16" s="1">
        <v>17824456</v>
      </c>
      <c r="D16" s="1">
        <v>10378281</v>
      </c>
      <c r="E16" s="1">
        <v>392505</v>
      </c>
      <c r="F16" s="1">
        <v>19111908</v>
      </c>
      <c r="G16" s="1">
        <v>10742805</v>
      </c>
      <c r="H16">
        <f t="shared" si="0"/>
        <v>3.2721717357635498</v>
      </c>
    </row>
    <row r="17" spans="1:8" hidden="1" x14ac:dyDescent="0.25">
      <c r="A17" s="1">
        <v>-12405719</v>
      </c>
      <c r="B17" s="1">
        <v>749472</v>
      </c>
      <c r="C17" s="1">
        <v>11625342</v>
      </c>
      <c r="D17" s="1">
        <v>649472</v>
      </c>
      <c r="E17" s="1">
        <v>485882</v>
      </c>
      <c r="F17" s="1">
        <v>24031061</v>
      </c>
      <c r="G17" s="1">
        <v>1704025</v>
      </c>
      <c r="H17">
        <f t="shared" si="0"/>
        <v>-0.84737223386764526</v>
      </c>
    </row>
    <row r="18" spans="1:8" hidden="1" x14ac:dyDescent="0.25">
      <c r="A18" s="1">
        <v>-13437609</v>
      </c>
      <c r="B18" s="1">
        <v>13282127</v>
      </c>
      <c r="C18" s="1">
        <v>11413864</v>
      </c>
      <c r="D18" s="1">
        <v>13182127</v>
      </c>
      <c r="E18" s="1">
        <v>451232</v>
      </c>
      <c r="F18" s="1">
        <v>24851473</v>
      </c>
      <c r="G18" s="1">
        <v>14021717</v>
      </c>
      <c r="H18">
        <f t="shared" si="0"/>
        <v>5.2657809257507324</v>
      </c>
    </row>
    <row r="19" spans="1:8" hidden="1" x14ac:dyDescent="0.25">
      <c r="A19" s="1">
        <v>7032191</v>
      </c>
      <c r="B19" s="1">
        <v>10833928</v>
      </c>
      <c r="C19" s="1">
        <v>20761346</v>
      </c>
      <c r="D19" s="1">
        <v>10733928</v>
      </c>
      <c r="E19" s="1">
        <v>108050</v>
      </c>
      <c r="F19" s="1">
        <v>13729155</v>
      </c>
      <c r="G19" s="1">
        <v>11770412</v>
      </c>
      <c r="H19">
        <f t="shared" si="0"/>
        <v>3.4142665863037109</v>
      </c>
    </row>
    <row r="20" spans="1:8" hidden="1" x14ac:dyDescent="0.25">
      <c r="A20" s="1">
        <v>4585375</v>
      </c>
      <c r="B20" s="1">
        <v>3051865</v>
      </c>
      <c r="C20" s="1">
        <v>16049610</v>
      </c>
      <c r="D20" s="1">
        <v>2951865</v>
      </c>
      <c r="E20" s="1">
        <v>461580</v>
      </c>
      <c r="F20" s="1">
        <v>11464235</v>
      </c>
      <c r="G20" s="1">
        <v>3695361</v>
      </c>
      <c r="H20">
        <f t="shared" si="0"/>
        <v>1.4701665639877319</v>
      </c>
    </row>
    <row r="21" spans="1:8" hidden="1" x14ac:dyDescent="0.25">
      <c r="A21" s="1">
        <v>-5673288</v>
      </c>
      <c r="B21" s="1">
        <v>9253962</v>
      </c>
      <c r="C21" s="1">
        <v>13532916</v>
      </c>
      <c r="D21" s="1">
        <v>9153962</v>
      </c>
      <c r="E21" s="1">
        <v>250839</v>
      </c>
      <c r="F21" s="1">
        <v>19206204</v>
      </c>
      <c r="G21" s="1">
        <v>9488747</v>
      </c>
      <c r="H21">
        <f t="shared" si="0"/>
        <v>3.3947584629058838</v>
      </c>
    </row>
  </sheetData>
  <autoFilter ref="A1:H21" xr:uid="{6EBF60F9-D68B-4DF9-8851-76CAFC945AEF}">
    <filterColumn colId="7">
      <customFilters and="1">
        <customFilter operator="greaterThanOrEqual" val="1.81"/>
        <customFilter operator="lessThan" val="2.99"/>
      </customFilters>
    </filterColumn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 filterMode="1"/>
  <dimension ref="A1:H21"/>
  <sheetViews>
    <sheetView workbookViewId="0">
      <selection activeCell="A3" sqref="A3:H14"/>
    </sheetView>
  </sheetViews>
  <sheetFormatPr baseColWidth="10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15</v>
      </c>
    </row>
    <row r="2" spans="1:8" hidden="1" x14ac:dyDescent="0.25">
      <c r="A2" s="1">
        <v>-6311341</v>
      </c>
      <c r="B2" s="1">
        <v>12219821</v>
      </c>
      <c r="C2" s="1">
        <v>14950608</v>
      </c>
      <c r="D2" s="1">
        <v>12119821</v>
      </c>
      <c r="E2" s="1">
        <v>263374</v>
      </c>
      <c r="F2" s="1">
        <v>21261949</v>
      </c>
      <c r="G2" s="1">
        <v>12774705</v>
      </c>
      <c r="H2">
        <f>Score_Altman(A2,B2,C2,D2,E2,F2,G2)</f>
        <v>4.1739168167114258</v>
      </c>
    </row>
    <row r="3" spans="1:8" x14ac:dyDescent="0.25">
      <c r="A3" s="1">
        <v>8695609</v>
      </c>
      <c r="B3" s="1">
        <v>5934684</v>
      </c>
      <c r="C3" s="1">
        <v>21803518</v>
      </c>
      <c r="D3" s="1">
        <v>5834684</v>
      </c>
      <c r="E3" s="1">
        <v>478604</v>
      </c>
      <c r="F3" s="1">
        <v>13107909</v>
      </c>
      <c r="G3" s="1">
        <v>6794410</v>
      </c>
      <c r="H3">
        <f t="shared" ref="H3:H21" si="0">Score_Altman(A3,B3,C3,D3,E3,F3,G3)</f>
        <v>2.0759503841400146</v>
      </c>
    </row>
    <row r="4" spans="1:8" x14ac:dyDescent="0.25">
      <c r="A4" s="1">
        <v>11842621</v>
      </c>
      <c r="B4" s="1">
        <v>5946111</v>
      </c>
      <c r="C4" s="1">
        <v>23514900</v>
      </c>
      <c r="D4" s="1">
        <v>5846111</v>
      </c>
      <c r="E4" s="1">
        <v>445298</v>
      </c>
      <c r="F4" s="1">
        <v>11672279</v>
      </c>
      <c r="G4" s="1">
        <v>6142666</v>
      </c>
      <c r="H4">
        <f t="shared" si="0"/>
        <v>2.0626347064971924</v>
      </c>
    </row>
    <row r="5" spans="1:8" x14ac:dyDescent="0.25">
      <c r="A5" s="1">
        <v>4948429</v>
      </c>
      <c r="B5" s="1">
        <v>6452618</v>
      </c>
      <c r="C5" s="1">
        <v>23486157</v>
      </c>
      <c r="D5" s="1">
        <v>6352618</v>
      </c>
      <c r="E5" s="1">
        <v>323819</v>
      </c>
      <c r="F5" s="1">
        <v>18537728</v>
      </c>
      <c r="G5" s="1">
        <v>6902284</v>
      </c>
      <c r="H5">
        <f t="shared" si="0"/>
        <v>1.8341424465179443</v>
      </c>
    </row>
    <row r="6" spans="1:8" x14ac:dyDescent="0.25">
      <c r="A6" s="1">
        <v>-1437436</v>
      </c>
      <c r="B6" s="1">
        <v>9825695</v>
      </c>
      <c r="C6" s="1">
        <v>23468782</v>
      </c>
      <c r="D6" s="1">
        <v>9725695</v>
      </c>
      <c r="E6" s="1">
        <v>182774</v>
      </c>
      <c r="F6" s="1">
        <v>24906218</v>
      </c>
      <c r="G6" s="1">
        <v>9941860</v>
      </c>
      <c r="H6">
        <f t="shared" si="0"/>
        <v>2.307793140411377</v>
      </c>
    </row>
    <row r="7" spans="1:8" hidden="1" x14ac:dyDescent="0.25">
      <c r="A7" s="1">
        <v>2658190</v>
      </c>
      <c r="B7" s="1">
        <v>5882746</v>
      </c>
      <c r="C7" s="1">
        <v>24548838</v>
      </c>
      <c r="D7" s="1">
        <v>5782746</v>
      </c>
      <c r="E7" s="1">
        <v>189074</v>
      </c>
      <c r="F7" s="1">
        <v>21890648</v>
      </c>
      <c r="G7" s="1">
        <v>6665520</v>
      </c>
      <c r="H7">
        <f t="shared" si="0"/>
        <v>1.5192086696624756</v>
      </c>
    </row>
    <row r="8" spans="1:8" hidden="1" x14ac:dyDescent="0.25">
      <c r="A8" s="1">
        <v>-3107811</v>
      </c>
      <c r="B8" s="1">
        <v>13189767</v>
      </c>
      <c r="C8" s="1">
        <v>15253511</v>
      </c>
      <c r="D8" s="1">
        <v>13089767</v>
      </c>
      <c r="E8" s="1">
        <v>215518</v>
      </c>
      <c r="F8" s="1">
        <v>18361322</v>
      </c>
      <c r="G8" s="1">
        <v>14021906</v>
      </c>
      <c r="H8">
        <f t="shared" si="0"/>
        <v>4.7233610153198242</v>
      </c>
    </row>
    <row r="9" spans="1:8" hidden="1" x14ac:dyDescent="0.25">
      <c r="A9" s="1">
        <v>-3924307</v>
      </c>
      <c r="B9" s="1">
        <v>2011386</v>
      </c>
      <c r="C9" s="1">
        <v>20764602</v>
      </c>
      <c r="D9" s="1">
        <v>1911386</v>
      </c>
      <c r="E9" s="1">
        <v>231851</v>
      </c>
      <c r="F9" s="1">
        <v>24688909</v>
      </c>
      <c r="G9" s="1">
        <v>2140499</v>
      </c>
      <c r="H9">
        <f t="shared" si="0"/>
        <v>0.32120543718338013</v>
      </c>
    </row>
    <row r="10" spans="1:8" hidden="1" x14ac:dyDescent="0.25">
      <c r="A10" s="1">
        <v>-299386</v>
      </c>
      <c r="B10" s="1">
        <v>9935835</v>
      </c>
      <c r="C10" s="1">
        <v>16359826</v>
      </c>
      <c r="D10" s="1">
        <v>9835835</v>
      </c>
      <c r="E10" s="1">
        <v>113945</v>
      </c>
      <c r="F10" s="1">
        <v>16659212</v>
      </c>
      <c r="G10" s="1">
        <v>10043809</v>
      </c>
      <c r="H10">
        <f t="shared" si="0"/>
        <v>3.4297471046447754</v>
      </c>
    </row>
    <row r="11" spans="1:8" x14ac:dyDescent="0.25">
      <c r="A11" s="1">
        <v>3215388</v>
      </c>
      <c r="B11" s="1">
        <v>10563993</v>
      </c>
      <c r="C11" s="1">
        <v>22907859</v>
      </c>
      <c r="D11" s="1">
        <v>10463993</v>
      </c>
      <c r="E11" s="1">
        <v>160618</v>
      </c>
      <c r="F11" s="1">
        <v>19692471</v>
      </c>
      <c r="G11" s="1">
        <v>11242611</v>
      </c>
      <c r="H11">
        <f t="shared" si="0"/>
        <v>2.8166186809539795</v>
      </c>
    </row>
    <row r="12" spans="1:8" hidden="1" x14ac:dyDescent="0.25">
      <c r="A12" s="1">
        <v>-1382090</v>
      </c>
      <c r="B12" s="1">
        <v>11377713</v>
      </c>
      <c r="C12" s="1">
        <v>19613743</v>
      </c>
      <c r="D12" s="1">
        <v>11277713</v>
      </c>
      <c r="E12" s="1">
        <v>436345</v>
      </c>
      <c r="F12" s="1">
        <v>20995833</v>
      </c>
      <c r="G12" s="1">
        <v>11890815</v>
      </c>
      <c r="H12">
        <f t="shared" si="0"/>
        <v>3.2431461811065674</v>
      </c>
    </row>
    <row r="13" spans="1:8" hidden="1" x14ac:dyDescent="0.25">
      <c r="A13" s="1">
        <v>-5527357</v>
      </c>
      <c r="B13" s="1">
        <v>2634310</v>
      </c>
      <c r="C13" s="1">
        <v>17167143</v>
      </c>
      <c r="D13" s="1">
        <v>2534310</v>
      </c>
      <c r="E13" s="1">
        <v>225513</v>
      </c>
      <c r="F13" s="1">
        <v>22694500</v>
      </c>
      <c r="G13" s="1">
        <v>3438036</v>
      </c>
      <c r="H13">
        <f t="shared" si="0"/>
        <v>0.52165806293487549</v>
      </c>
    </row>
    <row r="14" spans="1:8" x14ac:dyDescent="0.25">
      <c r="A14" s="1">
        <v>8428979</v>
      </c>
      <c r="B14" s="1">
        <v>5310524</v>
      </c>
      <c r="C14" s="1">
        <v>18437602</v>
      </c>
      <c r="D14" s="1">
        <v>5210524</v>
      </c>
      <c r="E14" s="1">
        <v>184084</v>
      </c>
      <c r="F14" s="1">
        <v>10008623</v>
      </c>
      <c r="G14" s="1">
        <v>5946934</v>
      </c>
      <c r="H14">
        <f t="shared" si="0"/>
        <v>2.217679500579834</v>
      </c>
    </row>
    <row r="15" spans="1:8" hidden="1" x14ac:dyDescent="0.25">
      <c r="A15" s="1">
        <v>8631307</v>
      </c>
      <c r="B15" s="1">
        <v>4043264</v>
      </c>
      <c r="C15" s="1">
        <v>20863713</v>
      </c>
      <c r="D15" s="1">
        <v>3943264</v>
      </c>
      <c r="E15" s="1">
        <v>216505</v>
      </c>
      <c r="F15" s="1">
        <v>12232406</v>
      </c>
      <c r="G15" s="1">
        <v>5041157</v>
      </c>
      <c r="H15">
        <f t="shared" si="0"/>
        <v>1.6434558629989624</v>
      </c>
    </row>
    <row r="16" spans="1:8" hidden="1" x14ac:dyDescent="0.25">
      <c r="A16" s="1">
        <v>-2713308</v>
      </c>
      <c r="B16" s="1">
        <v>7931167</v>
      </c>
      <c r="C16" s="1">
        <v>10681783</v>
      </c>
      <c r="D16" s="1">
        <v>7831167</v>
      </c>
      <c r="E16" s="1">
        <v>434862</v>
      </c>
      <c r="F16" s="1">
        <v>13395091</v>
      </c>
      <c r="G16" s="1">
        <v>8042661</v>
      </c>
      <c r="H16">
        <f t="shared" si="0"/>
        <v>3.9256742000579834</v>
      </c>
    </row>
    <row r="17" spans="1:8" hidden="1" x14ac:dyDescent="0.25">
      <c r="A17" s="1">
        <v>-9895761</v>
      </c>
      <c r="B17" s="1">
        <v>14437013</v>
      </c>
      <c r="C17" s="1">
        <v>12930169</v>
      </c>
      <c r="D17" s="1">
        <v>14337013</v>
      </c>
      <c r="E17" s="1">
        <v>351564</v>
      </c>
      <c r="F17" s="1">
        <v>22825930</v>
      </c>
      <c r="G17" s="1">
        <v>14865971</v>
      </c>
      <c r="H17">
        <f t="shared" si="0"/>
        <v>5.4616179466247559</v>
      </c>
    </row>
    <row r="18" spans="1:8" hidden="1" x14ac:dyDescent="0.25">
      <c r="A18" s="1">
        <v>4022732</v>
      </c>
      <c r="B18" s="1">
        <v>11162302</v>
      </c>
      <c r="C18" s="1">
        <v>20967235</v>
      </c>
      <c r="D18" s="1">
        <v>11062302</v>
      </c>
      <c r="E18" s="1">
        <v>110548</v>
      </c>
      <c r="F18" s="1">
        <v>16944503</v>
      </c>
      <c r="G18" s="1">
        <v>11673279</v>
      </c>
      <c r="H18">
        <f t="shared" si="0"/>
        <v>3.2767207622528076</v>
      </c>
    </row>
    <row r="19" spans="1:8" hidden="1" x14ac:dyDescent="0.25">
      <c r="A19" s="1">
        <v>-6873012</v>
      </c>
      <c r="B19" s="1">
        <v>1468236</v>
      </c>
      <c r="C19" s="1">
        <v>16714157</v>
      </c>
      <c r="D19" s="1">
        <v>1368236</v>
      </c>
      <c r="E19" s="1">
        <v>103916</v>
      </c>
      <c r="F19" s="1">
        <v>23587169</v>
      </c>
      <c r="G19" s="1">
        <v>1876747</v>
      </c>
      <c r="H19">
        <f t="shared" si="0"/>
        <v>1.4487523585557938E-2</v>
      </c>
    </row>
    <row r="20" spans="1:8" hidden="1" x14ac:dyDescent="0.25">
      <c r="A20" s="1">
        <v>-8261638</v>
      </c>
      <c r="B20" s="1">
        <v>11544410</v>
      </c>
      <c r="C20" s="1">
        <v>11630330</v>
      </c>
      <c r="D20" s="1">
        <v>11444410</v>
      </c>
      <c r="E20" s="1">
        <v>226878</v>
      </c>
      <c r="F20" s="1">
        <v>19891968</v>
      </c>
      <c r="G20" s="1">
        <v>11879381</v>
      </c>
      <c r="H20">
        <f t="shared" si="0"/>
        <v>4.8117165565490723</v>
      </c>
    </row>
    <row r="21" spans="1:8" hidden="1" x14ac:dyDescent="0.25">
      <c r="A21" s="1">
        <v>-225852</v>
      </c>
      <c r="B21" s="1">
        <v>1566182</v>
      </c>
      <c r="C21" s="1">
        <v>19721372</v>
      </c>
      <c r="D21" s="1">
        <v>1466182</v>
      </c>
      <c r="E21" s="1">
        <v>478732</v>
      </c>
      <c r="F21" s="1">
        <v>19947224</v>
      </c>
      <c r="G21" s="1">
        <v>2268761</v>
      </c>
      <c r="H21">
        <f t="shared" si="0"/>
        <v>0.47210267186164856</v>
      </c>
    </row>
  </sheetData>
  <autoFilter ref="A1:H21" xr:uid="{9F4F2B13-77F9-4A3D-B8A8-411531A1B3A3}">
    <filterColumn colId="7">
      <customFilters and="1">
        <customFilter operator="greaterThanOrEqual" val="1.81"/>
        <customFilter operator="lessThan" val="2.99"/>
      </customFilters>
    </filterColumn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 filterMode="1"/>
  <dimension ref="A1:H21"/>
  <sheetViews>
    <sheetView workbookViewId="0">
      <selection activeCell="A2" sqref="A2:G21"/>
    </sheetView>
  </sheetViews>
  <sheetFormatPr baseColWidth="10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15</v>
      </c>
    </row>
    <row r="2" spans="1:8" x14ac:dyDescent="0.25">
      <c r="A2" s="1">
        <v>-2952448</v>
      </c>
      <c r="B2" s="1">
        <v>6526653</v>
      </c>
      <c r="C2" s="1">
        <v>17329098</v>
      </c>
      <c r="D2" s="1">
        <v>6426653</v>
      </c>
      <c r="E2" s="1">
        <v>295961</v>
      </c>
      <c r="F2" s="1">
        <v>20281546</v>
      </c>
      <c r="G2" s="1">
        <v>7420602</v>
      </c>
      <c r="H2">
        <f>Score_Altman(A2,B2,C2,D2,E2,F2,G2)</f>
        <v>1.9832099676132202</v>
      </c>
    </row>
    <row r="3" spans="1:8" x14ac:dyDescent="0.25">
      <c r="A3" s="1">
        <v>1543361</v>
      </c>
      <c r="B3" s="1">
        <v>6638859</v>
      </c>
      <c r="C3" s="1">
        <v>21352018</v>
      </c>
      <c r="D3" s="1">
        <v>6538859</v>
      </c>
      <c r="E3" s="1">
        <v>223577</v>
      </c>
      <c r="F3" s="1">
        <v>19808657</v>
      </c>
      <c r="G3" s="1">
        <v>7089111</v>
      </c>
      <c r="H3">
        <f t="shared" ref="H3:H21" si="0">Score_Altman(A3,B3,C3,D3,E3,F3,G3)</f>
        <v>1.8710780143737793</v>
      </c>
    </row>
    <row r="4" spans="1:8" x14ac:dyDescent="0.25">
      <c r="A4" s="1">
        <v>-5243746</v>
      </c>
      <c r="B4" s="1">
        <v>9332375</v>
      </c>
      <c r="C4" s="1">
        <v>19695101</v>
      </c>
      <c r="D4" s="1">
        <v>9232375</v>
      </c>
      <c r="E4" s="1">
        <v>494116</v>
      </c>
      <c r="F4" s="1">
        <v>24938847</v>
      </c>
      <c r="G4" s="1">
        <v>9470754</v>
      </c>
      <c r="H4">
        <f t="shared" si="0"/>
        <v>2.3830842971801758</v>
      </c>
    </row>
    <row r="5" spans="1:8" x14ac:dyDescent="0.25">
      <c r="A5" s="1">
        <v>-10634262</v>
      </c>
      <c r="B5" s="1">
        <v>6572345</v>
      </c>
      <c r="C5" s="1">
        <v>12962398</v>
      </c>
      <c r="D5" s="1">
        <v>6472345</v>
      </c>
      <c r="E5" s="1">
        <v>274535</v>
      </c>
      <c r="F5" s="1">
        <v>23596660</v>
      </c>
      <c r="G5" s="1">
        <v>7083771</v>
      </c>
      <c r="H5">
        <f t="shared" si="0"/>
        <v>1.9260387420654297</v>
      </c>
    </row>
    <row r="6" spans="1:8" hidden="1" x14ac:dyDescent="0.25">
      <c r="A6" s="1">
        <v>5675282</v>
      </c>
      <c r="B6" s="1">
        <v>8399156</v>
      </c>
      <c r="C6" s="1">
        <v>17984770</v>
      </c>
      <c r="D6" s="1">
        <v>8299156</v>
      </c>
      <c r="E6" s="1">
        <v>464276</v>
      </c>
      <c r="F6" s="1">
        <v>12309488</v>
      </c>
      <c r="G6" s="1">
        <v>8596679</v>
      </c>
      <c r="H6">
        <f t="shared" si="0"/>
        <v>3.0554437637329102</v>
      </c>
    </row>
    <row r="7" spans="1:8" hidden="1" x14ac:dyDescent="0.25">
      <c r="A7" s="1">
        <v>5912342</v>
      </c>
      <c r="B7" s="1">
        <v>13029767</v>
      </c>
      <c r="C7" s="1">
        <v>17336875</v>
      </c>
      <c r="D7" s="1">
        <v>12929767</v>
      </c>
      <c r="E7" s="1">
        <v>170608</v>
      </c>
      <c r="F7" s="1">
        <v>11424533</v>
      </c>
      <c r="G7" s="1">
        <v>13766054</v>
      </c>
      <c r="H7">
        <f t="shared" si="0"/>
        <v>4.7247462272644043</v>
      </c>
    </row>
    <row r="8" spans="1:8" hidden="1" x14ac:dyDescent="0.25">
      <c r="A8" s="1">
        <v>-1273462</v>
      </c>
      <c r="B8" s="1">
        <v>2532301</v>
      </c>
      <c r="C8" s="1">
        <v>14262889</v>
      </c>
      <c r="D8" s="1">
        <v>2432301</v>
      </c>
      <c r="E8" s="1">
        <v>302741</v>
      </c>
      <c r="F8" s="1">
        <v>15536351</v>
      </c>
      <c r="G8" s="1">
        <v>3461521</v>
      </c>
      <c r="H8">
        <f t="shared" si="0"/>
        <v>0.95832449197769165</v>
      </c>
    </row>
    <row r="9" spans="1:8" x14ac:dyDescent="0.25">
      <c r="A9" s="1">
        <v>-2703333</v>
      </c>
      <c r="B9" s="1">
        <v>5781080</v>
      </c>
      <c r="C9" s="1">
        <v>13847753</v>
      </c>
      <c r="D9" s="1">
        <v>5681080</v>
      </c>
      <c r="E9" s="1">
        <v>144752</v>
      </c>
      <c r="F9" s="1">
        <v>16551086</v>
      </c>
      <c r="G9" s="1">
        <v>5983331</v>
      </c>
      <c r="H9">
        <f t="shared" si="0"/>
        <v>2.1409313678741455</v>
      </c>
    </row>
    <row r="10" spans="1:8" hidden="1" x14ac:dyDescent="0.25">
      <c r="A10" s="1">
        <v>11531803</v>
      </c>
      <c r="B10" s="1">
        <v>13246470</v>
      </c>
      <c r="C10" s="1">
        <v>24683986</v>
      </c>
      <c r="D10" s="1">
        <v>13146470</v>
      </c>
      <c r="E10" s="1">
        <v>303524</v>
      </c>
      <c r="F10" s="1">
        <v>13152183</v>
      </c>
      <c r="G10" s="1">
        <v>13955952</v>
      </c>
      <c r="H10">
        <f t="shared" si="0"/>
        <v>3.6481287479400635</v>
      </c>
    </row>
    <row r="11" spans="1:8" hidden="1" x14ac:dyDescent="0.25">
      <c r="A11" s="1">
        <v>-127677</v>
      </c>
      <c r="B11" s="1">
        <v>4905012</v>
      </c>
      <c r="C11" s="1">
        <v>20800746</v>
      </c>
      <c r="D11" s="1">
        <v>4805012</v>
      </c>
      <c r="E11" s="1">
        <v>463601</v>
      </c>
      <c r="F11" s="1">
        <v>20928423</v>
      </c>
      <c r="G11" s="1">
        <v>5554072</v>
      </c>
      <c r="H11">
        <f t="shared" si="0"/>
        <v>1.3651108741760254</v>
      </c>
    </row>
    <row r="12" spans="1:8" hidden="1" x14ac:dyDescent="0.25">
      <c r="A12" s="1">
        <v>-1120625</v>
      </c>
      <c r="B12" s="1">
        <v>9730429</v>
      </c>
      <c r="C12" s="1">
        <v>12657304</v>
      </c>
      <c r="D12" s="1">
        <v>9630429</v>
      </c>
      <c r="E12" s="1">
        <v>416987</v>
      </c>
      <c r="F12" s="1">
        <v>13777929</v>
      </c>
      <c r="G12" s="1">
        <v>10256672</v>
      </c>
      <c r="H12">
        <f t="shared" si="0"/>
        <v>4.3085417747497559</v>
      </c>
    </row>
    <row r="13" spans="1:8" x14ac:dyDescent="0.25">
      <c r="A13" s="1">
        <v>2649626</v>
      </c>
      <c r="B13" s="1">
        <v>5619720</v>
      </c>
      <c r="C13" s="1">
        <v>16789369</v>
      </c>
      <c r="D13" s="1">
        <v>5519720</v>
      </c>
      <c r="E13" s="1">
        <v>158010</v>
      </c>
      <c r="F13" s="1">
        <v>14139743</v>
      </c>
      <c r="G13" s="1">
        <v>5972295</v>
      </c>
      <c r="H13">
        <f t="shared" si="0"/>
        <v>2.1049706935882568</v>
      </c>
    </row>
    <row r="14" spans="1:8" hidden="1" x14ac:dyDescent="0.25">
      <c r="A14" s="1">
        <v>190510</v>
      </c>
      <c r="B14" s="1">
        <v>701461</v>
      </c>
      <c r="C14" s="1">
        <v>15147681</v>
      </c>
      <c r="D14" s="1">
        <v>601461</v>
      </c>
      <c r="E14" s="1">
        <v>117172</v>
      </c>
      <c r="F14" s="1">
        <v>14957171</v>
      </c>
      <c r="G14" s="1">
        <v>1071900</v>
      </c>
      <c r="H14">
        <f t="shared" si="0"/>
        <v>0.28634783625602722</v>
      </c>
    </row>
    <row r="15" spans="1:8" hidden="1" x14ac:dyDescent="0.25">
      <c r="A15" s="1">
        <v>9346037</v>
      </c>
      <c r="B15" s="1">
        <v>13186318</v>
      </c>
      <c r="C15" s="1">
        <v>19394753</v>
      </c>
      <c r="D15" s="1">
        <v>13086318</v>
      </c>
      <c r="E15" s="1">
        <v>317675</v>
      </c>
      <c r="F15" s="1">
        <v>10048716</v>
      </c>
      <c r="G15" s="1">
        <v>13907812</v>
      </c>
      <c r="H15">
        <f t="shared" si="0"/>
        <v>4.4920773506164551</v>
      </c>
    </row>
    <row r="16" spans="1:8" x14ac:dyDescent="0.25">
      <c r="A16" s="1">
        <v>-7959666</v>
      </c>
      <c r="B16" s="1">
        <v>8159588</v>
      </c>
      <c r="C16" s="1">
        <v>12550453</v>
      </c>
      <c r="D16" s="1">
        <v>8059588</v>
      </c>
      <c r="E16" s="1">
        <v>448773</v>
      </c>
      <c r="F16" s="1">
        <v>20510119</v>
      </c>
      <c r="G16" s="1">
        <v>8465488</v>
      </c>
      <c r="H16">
        <f t="shared" si="0"/>
        <v>2.9552919864654541</v>
      </c>
    </row>
    <row r="17" spans="1:8" hidden="1" x14ac:dyDescent="0.25">
      <c r="A17" s="1">
        <v>-12912119</v>
      </c>
      <c r="B17" s="1">
        <v>8507030</v>
      </c>
      <c r="C17" s="1">
        <v>11007748</v>
      </c>
      <c r="D17" s="1">
        <v>8407030</v>
      </c>
      <c r="E17" s="1">
        <v>481935</v>
      </c>
      <c r="F17" s="1">
        <v>23919867</v>
      </c>
      <c r="G17" s="1">
        <v>9227676</v>
      </c>
      <c r="H17">
        <f t="shared" si="0"/>
        <v>3.0442209243774414</v>
      </c>
    </row>
    <row r="18" spans="1:8" hidden="1" x14ac:dyDescent="0.25">
      <c r="A18" s="1">
        <v>5220520</v>
      </c>
      <c r="B18" s="1">
        <v>3143929</v>
      </c>
      <c r="C18" s="1">
        <v>21746643</v>
      </c>
      <c r="D18" s="1">
        <v>3043929</v>
      </c>
      <c r="E18" s="1">
        <v>278393</v>
      </c>
      <c r="F18" s="1">
        <v>16526123</v>
      </c>
      <c r="G18" s="1">
        <v>4047922</v>
      </c>
      <c r="H18">
        <f t="shared" si="0"/>
        <v>1.148442268371582</v>
      </c>
    </row>
    <row r="19" spans="1:8" x14ac:dyDescent="0.25">
      <c r="A19" s="1">
        <v>-3704886</v>
      </c>
      <c r="B19" s="1">
        <v>7581114</v>
      </c>
      <c r="C19" s="1">
        <v>20640504</v>
      </c>
      <c r="D19" s="1">
        <v>7481114</v>
      </c>
      <c r="E19" s="1">
        <v>223073</v>
      </c>
      <c r="F19" s="1">
        <v>24345390</v>
      </c>
      <c r="G19" s="1">
        <v>7889934</v>
      </c>
      <c r="H19">
        <f t="shared" si="0"/>
        <v>1.8822647333145142</v>
      </c>
    </row>
    <row r="20" spans="1:8" x14ac:dyDescent="0.25">
      <c r="A20" s="1">
        <v>1331058</v>
      </c>
      <c r="B20" s="1">
        <v>5193889</v>
      </c>
      <c r="C20" s="1">
        <v>15605653</v>
      </c>
      <c r="D20" s="1">
        <v>5093889</v>
      </c>
      <c r="E20" s="1">
        <v>260482</v>
      </c>
      <c r="F20" s="1">
        <v>14274595</v>
      </c>
      <c r="G20" s="1">
        <v>5580003</v>
      </c>
      <c r="H20">
        <f t="shared" si="0"/>
        <v>2.0136187076568604</v>
      </c>
    </row>
    <row r="21" spans="1:8" x14ac:dyDescent="0.25">
      <c r="A21" s="1">
        <v>575770</v>
      </c>
      <c r="B21" s="1">
        <v>5416779</v>
      </c>
      <c r="C21" s="1">
        <v>15557689</v>
      </c>
      <c r="D21" s="1">
        <v>5316779</v>
      </c>
      <c r="E21" s="1">
        <v>406955</v>
      </c>
      <c r="F21" s="1">
        <v>14981919</v>
      </c>
      <c r="G21" s="1">
        <v>5874074</v>
      </c>
      <c r="H21">
        <f t="shared" si="0"/>
        <v>2.0531032085418701</v>
      </c>
    </row>
  </sheetData>
  <autoFilter ref="A1:H21" xr:uid="{87178A0A-90A7-4FD2-A361-35A92EE7730E}">
    <filterColumn colId="7">
      <customFilters and="1">
        <customFilter operator="greaterThanOrEqual" val="1.81"/>
        <customFilter operator="lessThan" val="2.99"/>
      </custom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A</vt:lpstr>
      <vt:lpstr>Les données des entreprises</vt:lpstr>
      <vt:lpstr>Solveur</vt:lpstr>
      <vt:lpstr>Heatmap</vt:lpstr>
      <vt:lpstr>Calcul et diagramme</vt:lpstr>
      <vt:lpstr>B</vt:lpstr>
      <vt:lpstr>C</vt:lpstr>
      <vt:lpstr>D</vt:lpstr>
      <vt:lpstr>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Sokhna</dc:creator>
  <cp:lastModifiedBy>Utilisateur Windows</cp:lastModifiedBy>
  <dcterms:created xsi:type="dcterms:W3CDTF">2020-02-19T21:19:23Z</dcterms:created>
  <dcterms:modified xsi:type="dcterms:W3CDTF">2020-02-29T23:44:47Z</dcterms:modified>
</cp:coreProperties>
</file>